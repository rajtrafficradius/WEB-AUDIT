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f45df58e7e41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a137ed812b344b5"/>
    <x:sheet xmlns:r="http://schemas.openxmlformats.org/officeDocument/2006/relationships" name="Register" sheetId="2" r:id="R22a46c76613347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EFA"/>
      <x:name val="Georgia"/>
    </x:font>
    <x:font>
      <x:sz val="10"/>
      <x:color rgb="FF66716D"/>
      <x:name val="Aptos"/>
    </x:font>
    <x:font>
      <x:b/>
      <x:sz val="11"/>
      <x:color rgb="FFFFFEFA"/>
      <x:name val="Carlito"/>
    </x:font>
    <x:font>
      <x:b/>
      <x:sz val="18"/>
      <x:color rgb="FFFFFEFA"/>
      <x:name val="Georgia"/>
    </x:font>
  </x:fonts>
  <x:fills count="6">
    <x:fill>
      <x:patternFill patternType="none"/>
    </x:fill>
    <x:fill>
      <x:patternFill patternType="gray125"/>
    </x:fill>
    <x:fill>
      <x:patternFill patternType="solid">
        <x:fgColor rgb="FF17201E"/>
      </x:patternFill>
    </x:fill>
    <x:fill>
      <x:patternFill patternType="solid">
        <x:fgColor rgb="FFF6F2E9"/>
      </x:patternFill>
    </x:fill>
    <x:fill>
      <x:patternFill patternType="solid">
        <x:fgColor rgb="FF3E4C83"/>
      </x:patternFill>
    </x:fill>
    <x:fill>
      <x:patternFill patternType="solid">
        <x:fgColor rgb="FFA15C38"/>
      </x:patternFill>
    </x:fill>
  </x:fills>
  <x:borders count="2">
    <x:border/>
    <x:border>
      <x:left style="thin">
        <x:color rgb="FFD8D4C9"/>
      </x:left>
      <x:right style="thin">
        <x:color rgb="FFD8D4C9"/>
      </x:right>
      <x:top style="thin">
        <x:color rgb="FFD8D4C9"/>
      </x:top>
      <x:bottom style="thin">
        <x:color rgb="FFD8D4C9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4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04acc4710c45cb" /><Relationship Type="http://schemas.openxmlformats.org/officeDocument/2006/relationships/theme" Target="/xl/theme/theme1.xml" Id="R40633fc33b9f4f17" /><Relationship Type="http://schemas.openxmlformats.org/officeDocument/2006/relationships/sharedStrings" Target="/xl/sharedStrings.xml" Id="Rd7c63ce5fe55440c" /><Relationship Type="http://schemas.openxmlformats.org/officeDocument/2006/relationships/worksheet" Target="/xl/worksheets/sheet1.xml" Id="Rba137ed812b344b5" /><Relationship Type="http://schemas.openxmlformats.org/officeDocument/2006/relationships/worksheet" Target="/xl/worksheets/sheet2.xml" Id="R22a46c766133477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f15d0b4608d45a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Quality controls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'Overview'!$A$15:$A$17</c:f>
              <c:strCache>
                <c:ptCount val="0"/>
              </c:strCache>
            </c:strRef>
          </c:cat>
          <c:val>
            <c:numRef>
              <c:f>'Overview'!$B$15:$B$17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15d0b4608d45a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directMap26" displayName="RedirectMap26" ref="A5:F6" headerRowCount="1" totalsRowCount="0" totalsRowShown="0">
  <x:autoFilter ref="A5:F6"/>
  <x:tableColumns count="6">
    <x:tableColumn id="1" name="Source URL"/>
    <x:tableColumn id="2" name="Target URL"/>
    <x:tableColumn id="3" name="Status"/>
    <x:tableColumn id="4" name="Evidence"/>
    <x:tableColumn id="5" name="Approval"/>
    <x:tableColumn id="6" name="Deployab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f38d6e303d24f1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97c84e94a74a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</x:cols>
  <x:sheetData>
    <x:row r="1" ht="36" customHeight="1">
      <x:c r="A1" s="3" t="str">
        <x:v>Redirect Map</x:v>
      </x:c>
      <x:c r="B1" s="3"/>
      <x:c r="C1" s="3"/>
      <x:c r="D1" s="3"/>
      <x:c r="E1" s="3"/>
      <x:c r="F1" s="3"/>
    </x:row>
    <x:row r="2" ht="34" customHeight="1">
      <x:c r="A2" s="6" t="str">
        <x:v>Traffic Radius enterprise SEO evidence register ? professional V18-compatible v19 edition</x:v>
      </x:c>
      <x:c r="B2" s="6"/>
      <x:c r="C2" s="6"/>
      <x:c r="D2" s="6"/>
      <x:c r="E2" s="6"/>
      <x:c r="F2" s="6"/>
    </x:row>
    <x:row r="5">
      <x:c r="A5" s="9" t="str">
        <x:v>Control</x:v>
      </x:c>
      <x:c r="B5" s="9" t="str">
        <x:v>Canonical value</x:v>
      </x:c>
    </x:row>
    <x:row r="6">
      <x:c r="A6" s="10" t="str">
        <x:v>Evidence as of</x:v>
      </x:c>
      <x:c r="B6" s="10" t="str">
        <x:v>2026-07-15</x:v>
      </x:c>
    </x:row>
    <x:row r="7">
      <x:c r="A7" s="10" t="str">
        <x:v>Approved domain</x:v>
      </x:c>
      <x:c r="B7" s="10" t="str">
        <x:v>kakawachocolates.com.au</x:v>
      </x:c>
    </x:row>
    <x:row r="8">
      <x:c r="A8" s="10" t="str">
        <x:v>Run</x:v>
      </x:c>
      <x:c r="B8" s="10" t="str">
        <x:v>KAKAWA-ENT-20260715</x:v>
      </x:c>
    </x:row>
    <x:row r="9">
      <x:c r="A9" s="10" t="str">
        <x:v>Evidence status</x:v>
      </x:c>
      <x:c r="B9" s="10" t="str">
        <x:v>EVIDENCE-LINKED</x:v>
      </x:c>
    </x:row>
    <x:row r="10">
      <x:c r="A10" s="10" t="str">
        <x:v>Decision</x:v>
      </x:c>
      <x:c r="B10" s="10" t="str">
        <x:v>Review and approve before implementation.</x:v>
      </x:c>
    </x:row>
    <x:row r="11">
      <x:c r="A11" s="10" t="str">
        <x:v>Record count</x:v>
      </x:c>
      <x:c r="B11" s="10" t="n">
        <x:f>MAX(0,COUNTA(Register!A6:A1000))</x:f>
        <x:v>1</x:v>
      </x:c>
    </x:row>
    <x:row r="12">
      <x:c r="A12" s="10" t="str">
        <x:v>Release class</x:v>
      </x:c>
      <x:c r="B12" s="10" t="str">
        <x:f>IF(B11&gt;0,"REVIEW READY","UNAVAILABLE")</x:f>
        <x:v>REVIEW READY</x:v>
      </x:c>
    </x:row>
    <x:row r="14">
      <x:c r="A14" s="12" t="str">
        <x:v>Quality gate</x:v>
      </x:c>
      <x:c r="B14" s="12" t="str">
        <x:v>Value</x:v>
      </x:c>
      <x:c r="C14" t="str"/>
      <x:c r="D14" t="str"/>
      <x:c r="E14" t="str"/>
      <x:c r="F14" t="str"/>
    </x:row>
    <x:row r="15">
      <x:c r="A15" t="str">
        <x:v>Evidence-linked</x:v>
      </x:c>
      <x:c r="B15" t="n">
        <x:v>1</x:v>
      </x:c>
      <x:c r="C15" t="str"/>
      <x:c r="D15" t="str"/>
      <x:c r="E15" t="str"/>
      <x:c r="F15" t="str"/>
    </x:row>
    <x:row r="16">
      <x:c r="A16" t="str">
        <x:v>Approval required</x:v>
      </x:c>
      <x:c r="B16" t="n">
        <x:v>1</x:v>
      </x:c>
      <x:c r="C16" t="str"/>
      <x:c r="D16" t="str"/>
      <x:c r="E16" t="str"/>
      <x:c r="F16" t="str"/>
    </x:row>
    <x:row r="17">
      <x:c r="A17" t="str">
        <x:v>Fabricated substitutes</x:v>
      </x:c>
      <x:c r="B17" t="n">
        <x:v>0</x:v>
      </x:c>
      <x:c r="C17" t="str"/>
      <x:c r="D17" t="str"/>
      <x:c r="E17" t="str"/>
      <x:c r="F17" t="str"/>
    </x:row>
  </x:sheetData>
  <x:mergeCells>
    <x:mergeCell ref="A1:F1"/>
    <x:mergeCell ref="A2:F2"/>
  </x:mergeCells>
  <x:pageMargins left="0.7" right="0.7" top="0.75" bottom="0.75" header="0.3" footer="0.3"/>
  <x:drawing xmlns:r="http://schemas.openxmlformats.org/officeDocument/2006/relationships" r:id="R9f38d6e303d24f1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0" hidden="0" customWidth="1"/>
    <x:col min="4" max="4" width="24" hidden="0" customWidth="1"/>
    <x:col min="5" max="5" width="24" hidden="0" customWidth="1"/>
    <x:col min="6" max="6" width="28" hidden="0" customWidth="1"/>
  </x:cols>
  <x:sheetData>
    <x:row r="1" ht="34" customHeight="1">
      <x:c r="A1" s="13" t="str">
        <x:v>Redirect Map</x:v>
      </x:c>
      <x:c r="B1" s="13"/>
      <x:c r="C1" s="13"/>
      <x:c r="D1" s="13"/>
      <x:c r="E1" s="13"/>
      <x:c r="F1" s="13"/>
    </x:row>
    <x:row r="2" ht="32" customHeight="1">
      <x:c r="A2" s="6" t="str">
        <x:v>Canonical values only. Unavailable evidence is labelled explicitly; no estimates or fabricated substitutes.</x:v>
      </x:c>
      <x:c r="B2" s="6"/>
      <x:c r="C2" s="6"/>
      <x:c r="D2" s="6"/>
      <x:c r="E2" s="6"/>
      <x:c r="F2" s="6"/>
    </x:row>
    <x:row r="5">
      <x:c r="A5" s="14" t="str">
        <x:v>Source URL</x:v>
      </x:c>
      <x:c r="B5" s="14" t="str">
        <x:v>Target URL</x:v>
      </x:c>
      <x:c r="C5" s="14" t="str">
        <x:v>Status</x:v>
      </x:c>
      <x:c r="D5" s="14" t="str">
        <x:v>Evidence</x:v>
      </x:c>
      <x:c r="E5" s="14" t="str">
        <x:v>Approval</x:v>
      </x:c>
      <x:c r="F5" s="14" t="str">
        <x:v>Deployable</x:v>
      </x:c>
    </x:row>
    <x:row r="6">
      <x:c r="A6" s="14" t="str">
        <x:v>UNAVAILABLE</x:v>
      </x:c>
      <x:c r="B6" s="14" t="str">
        <x:v>No approved target url evidence was available.</x:v>
      </x:c>
      <x:c r="C6" s="14" t="str">
        <x:v>No approved status evidence was available.</x:v>
      </x:c>
      <x:c r="D6" s="14" t="str">
        <x:v>No approved evidence evidence was available.</x:v>
      </x:c>
      <x:c r="E6" s="14" t="str">
        <x:v>No approved approval evidence was available.</x:v>
      </x:c>
      <x:c r="F6" s="14" t="str">
        <x:v>No approved deployable evidence was available.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097c84e94a74a4a"/>
  </x:tableParts>
</x:worksheet>
</file>