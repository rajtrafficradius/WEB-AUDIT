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127f121e8b40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b954597979bc447b"/>
    <x:sheet xmlns:r="http://schemas.openxmlformats.org/officeDocument/2006/relationships" name="Action Plan" sheetId="2" r:id="R2d58c53706254193"/>
    <x:sheet xmlns:r="http://schemas.openxmlformats.org/officeDocument/2006/relationships" name="16-Week Gantt" sheetId="3" r:id="R256ed0d586ac4230"/>
    <x:sheet xmlns:r="http://schemas.openxmlformats.org/officeDocument/2006/relationships" name="Dashboard" sheetId="4" r:id="Re19666be18da439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;;;"/>
  </x:numFmts>
  <x:fonts count="4">
    <x:font>
      <x:sz val="11"/>
      <x:name val="Carlito"/>
    </x:font>
    <x:font>
      <x:b/>
      <x:sz val="20"/>
      <x:color rgb="FFFFFEFA"/>
      <x:name val="Georgia"/>
    </x:font>
    <x:font>
      <x:sz val="10"/>
      <x:color rgb="FF66716D"/>
      <x:name val="Aptos"/>
    </x:font>
    <x:font>
      <x:b/>
      <x:sz val="11"/>
      <x:color rgb="FFFFFEFA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201E"/>
      </x:patternFill>
    </x:fill>
    <x:fill>
      <x:patternFill patternType="solid">
        <x:fgColor rgb="FFF6F2E9"/>
      </x:patternFill>
    </x:fill>
    <x:fill>
      <x:patternFill patternType="solid">
        <x:fgColor rgb="FF3E4C83"/>
      </x:patternFill>
    </x:fill>
    <x:fill>
      <x:patternFill patternType="solid">
        <x:fgColor rgb="FFA15C38"/>
      </x:patternFill>
    </x:fill>
  </x:fills>
  <x:borders count="3">
    <x:border/>
    <x:border>
      <x:bottom style="medium">
        <x:color rgb="FFA15C38"/>
      </x:bottom>
    </x:border>
    <x:border>
      <x:left style="thin">
        <x:color rgb="FFD8D4C9"/>
      </x:left>
      <x:right style="thin">
        <x:color rgb="FFD8D4C9"/>
      </x:right>
      <x:top style="thin">
        <x:color rgb="FFD8D4C9"/>
      </x:top>
      <x:bottom style="thin">
        <x:color rgb="FFD8D4C9"/>
      </x:bottom>
    </x:border>
  </x:borders>
  <x:cellStyleXfs count="1">
    <x:xf numFmtId="0" fontId="0" fillId="0" borderId="0"/>
  </x:cellStyleXfs>
  <x:cellXfs count="2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201" fontId="0" fillId="0" borderId="0" xfId="0" applyNumberFormat="1" applyFont="1" applyFill="1" applyBorder="1"/>
    <x:xf numFmtId="0" fontId="3" fillId="4" borderId="2" xfId="0" applyNumberFormat="1" applyFont="1" applyFill="1" applyBorder="1" applyAlignment="1">
      <x:alignment horizontal="center" wrapText="1"/>
    </x:xf>
    <x:xf numFmtId="201" fontId="0" fillId="0" borderId="2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9C3F3B"/>
      </x:font>
      <x:fill>
        <x:patternFill patternType="solid">
          <x:bgColor rgb="FFF2D7D5"/>
        </x:patternFill>
      </x:fill>
    </x:dxf>
    <x:dxf>
      <x:font>
        <x:b/>
        <x:color rgb="FF2F6B57"/>
      </x:font>
      <x:fill>
        <x:patternFill patternType="solid">
          <x:bgColor rgb="FFDDEBE4"/>
        </x:patternFill>
      </x:fill>
    </x:dxf>
    <x:dxf>
      <x:fill>
        <x:patternFill patternType="solid">
          <x:bgColor rgb="FF3E4C8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c3dd2169674a5a" /><Relationship Type="http://schemas.openxmlformats.org/officeDocument/2006/relationships/theme" Target="/xl/theme/theme1.xml" Id="R13fa51fb9e814289" /><Relationship Type="http://schemas.openxmlformats.org/officeDocument/2006/relationships/sharedStrings" Target="/xl/sharedStrings.xml" Id="Rd018ac3aada44987" /><Relationship Type="http://schemas.openxmlformats.org/officeDocument/2006/relationships/worksheet" Target="/xl/worksheets/sheet1.xml" Id="Rb954597979bc447b" /><Relationship Type="http://schemas.openxmlformats.org/officeDocument/2006/relationships/worksheet" Target="/xl/worksheets/sheet2.xml" Id="R2d58c53706254193" /><Relationship Type="http://schemas.openxmlformats.org/officeDocument/2006/relationships/worksheet" Target="/xl/worksheets/sheet3.xml" Id="R256ed0d586ac4230" /><Relationship Type="http://schemas.openxmlformats.org/officeDocument/2006/relationships/worksheet" Target="/xl/worksheets/sheet4.xml" Id="Re19666be18da439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25158cfc13d4f71" /><Relationship Type="http://schemas.openxmlformats.org/officeDocument/2006/relationships/chart" Target="/xl/drawings/charts/chart2.xml" Id="R3ad2402ed5fc45d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Actions by priority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Actions</c:v>
          </c:tx>
          <c:cat>
            <c:strRef>
              <c:f>'Dashboard'!$A$6:$A$9</c:f>
              <c:strCache>
                <c:ptCount val="0"/>
              </c:strCache>
            </c:strRef>
          </c:cat>
          <c:val>
            <c:numRef>
              <c:f>'Dashboard'!$B$6:$B$9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Actions by status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Actions</c:v>
          </c:tx>
          <c:cat>
            <c:strRef>
              <c:f>'Dashboard'!$D$6:$D$11</c:f>
              <c:strCache>
                <c:ptCount val="0"/>
              </c:strCache>
            </c:strRef>
          </c:cat>
          <c:val>
            <c:numRef>
              <c:f>'Dashboard'!$E$6:$E$11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12</xdr:row>
      <xdr:rowOff>0</xdr:rowOff>
    </xdr:from>
    <xdr:to>
      <xdr:col>5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25158cfc13d4f71"/>
        </a:graphicData>
      </a:graphic>
    </xdr:graphicFrame>
    <xdr:clientData/>
  </xdr:twoCellAnchor>
  <xdr:twoCellAnchor>
    <xdr:from>
      <xdr:col>5</xdr:col>
      <xdr:colOff>0</xdr:colOff>
      <xdr:row>4</xdr:row>
      <xdr:rowOff>0</xdr:rowOff>
    </xdr:from>
    <xdr:to>
      <xdr:col>10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ad2402ed5fc45d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onicalActionPlanTable" displayName="CanonicalActionPlanTable" ref="A5:Q21" headerRowCount="1" totalsRowCount="0" totalsRowShown="0">
  <x:autoFilter ref="A5:Q21"/>
  <x:tableColumns count="17">
    <x:tableColumn id="1" name="ID"/>
    <x:tableColumn id="2" name="Phase"/>
    <x:tableColumn id="3" name="Week start"/>
    <x:tableColumn id="4" name="Week end"/>
    <x:tableColumn id="5" name="Priority"/>
    <x:tableColumn id="6" name="Action"/>
    <x:tableColumn id="7" name="Owner"/>
    <x:tableColumn id="8" name="Dependencies"/>
    <x:tableColumn id="9" name="Effort"/>
    <x:tableColumn id="10" name="KPI"/>
    <x:tableColumn id="11" name="Approval class"/>
    <x:tableColumn id="12" name="Status"/>
    <x:tableColumn id="13" name="Evidence"/>
    <x:tableColumn id="14" name="Confidence"/>
    <x:tableColumn id="15" name="Duration"/>
    <x:tableColumn id="16" name="Implementation risk"/>
    <x:tableColumn id="17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d828dd8209a49c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6cb7f1091f2d44c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90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</x:cols>
  <x:sheetData>
    <x:row r="1" ht="34" customHeight="1">
      <x:c r="A1" s="3" t="str">
        <x:v>Kakawa 16-Week Canonical Action Plan · v19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Evidence as of 2026-07-15 · Action IDs are authoritative across every derivative.</x:v>
      </x:c>
      <x:c r="B2" s="6"/>
      <x:c r="C2" s="6"/>
      <x:c r="D2" s="6"/>
      <x:c r="E2" s="6"/>
      <x:c r="F2" s="6"/>
      <x:c r="G2" s="6"/>
      <x:c r="H2" s="6"/>
    </x:row>
    <x:row r="3">
      <x:c r="A3" s="7"/>
      <x:c r="B3" s="7"/>
      <x:c r="C3" s="7"/>
      <x:c r="D3" s="7"/>
      <x:c r="E3" s="7"/>
      <x:c r="F3" s="7"/>
      <x:c r="G3" s="7"/>
      <x:c r="H3" s="7"/>
    </x:row>
    <x:row r="5">
      <x:c r="A5" s="10" t="str">
        <x:v>Control</x:v>
      </x:c>
      <x:c r="B5" s="10" t="str">
        <x:v>Meaning</x:v>
      </x:c>
    </x:row>
    <x:row r="6">
      <x:c r="A6" s="11" t="str">
        <x:v>Canonical source</x:v>
      </x:c>
      <x:c r="B6" s="11" t="str">
        <x:v>The Action Plan sheet; changes create a versioned record.</x:v>
      </x:c>
    </x:row>
    <x:row r="7">
      <x:c r="A7" s="11" t="str">
        <x:v>Approval classes</x:v>
      </x:c>
      <x:c r="B7" s="11" t="str">
        <x:v>Admin approval is required for redirects, canonicals, robots, schema and disavow candidates.</x:v>
      </x:c>
    </x:row>
    <x:row r="8">
      <x:c r="A8" s="11" t="str">
        <x:v>External execution</x:v>
      </x:c>
      <x:c r="B8" s="11" t="str">
        <x:v>Not performed by this application.</x:v>
      </x:c>
    </x:row>
    <x:row r="9">
      <x:c r="A9" s="11" t="str">
        <x:v>Private baselines</x:v>
      </x:c>
      <x:c r="B9" s="11" t="str">
        <x:v>Remain unavailable until GSC/GA4/SEMrush connections are approved.</x:v>
      </x:c>
    </x:row>
    <x:row r="10">
      <x:c r="A10" s="11" t="str">
        <x:v>Status values</x:v>
      </x:c>
      <x:c r="B10" s="11" t="str">
        <x:v>Not started, Ready, In progress, Blocked, Review, Approved, Complete</x:v>
      </x:c>
    </x:row>
    <x:row r="11">
      <x:c r="A11" s="11" t="str">
        <x:v>Priority</x:v>
      </x:c>
      <x:c r="B11" s="11" t="str">
        <x:v>P1–P4 reflects impact, confidence, reach, criticality, dependencies and effort.</x:v>
      </x:c>
    </x:row>
    <x:row r="12">
      <x:c r="A12" s="11" t="str">
        <x:v>Run</x:v>
      </x:c>
      <x:c r="B12" s="11" t="str">
        <x:v>KAKAWA-ENT-20260715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12" hidden="0" customWidth="1"/>
    <x:col min="4" max="4" width="12" hidden="0" customWidth="1"/>
    <x:col min="5" max="5" width="10" hidden="0" customWidth="1"/>
    <x:col min="6" max="6" width="58" hidden="0" customWidth="1"/>
    <x:col min="7" max="7" width="22" hidden="0" customWidth="1"/>
    <x:col min="8" max="8" width="28" hidden="0" customWidth="1"/>
    <x:col min="9" max="9" width="15" hidden="0" customWidth="1"/>
    <x:col min="10" max="10" width="34" hidden="0" customWidth="1"/>
    <x:col min="11" max="11" width="23" hidden="0" customWidth="1"/>
    <x:col min="12" max="12" width="18" hidden="0" customWidth="1"/>
    <x:col min="13" max="13" width="24" hidden="0" customWidth="1"/>
    <x:col min="14" max="14" width="13" hidden="0" customWidth="1"/>
    <x:col min="15" max="15" width="12" hidden="0" customWidth="1"/>
    <x:col min="16" max="16" width="22" hidden="0" customWidth="1"/>
    <x:col min="17" max="17" width="44" hidden="0" customWidth="1"/>
  </x:cols>
  <x:sheetData>
    <x:row r="1" ht="34" customHeight="1">
      <x:c r="A1" s="3" t="str">
        <x:v>Canonical action plan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</x:row>
    <x:row r="2" ht="30" customHeight="1">
      <x:c r="A2" s="6" t="str">
        <x:v>Owners, dependencies, effort, KPIs, evidence, risk and approval controls.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</x:row>
    <x:row r="3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  <x:c r="P3" s="7"/>
      <x:c r="Q3" s="7"/>
    </x:row>
    <x:row r="5">
      <x:c r="A5" t="str">
        <x:v>ID</x:v>
      </x:c>
      <x:c r="B5" t="str">
        <x:v>Phase</x:v>
      </x:c>
      <x:c r="C5" t="str">
        <x:v>Week start</x:v>
      </x:c>
      <x:c r="D5" t="str">
        <x:v>Week end</x:v>
      </x:c>
      <x:c r="E5" t="str">
        <x:v>Priority</x:v>
      </x:c>
      <x:c r="F5" t="str">
        <x:v>Action</x:v>
      </x:c>
      <x:c r="G5" t="str">
        <x:v>Owner</x:v>
      </x:c>
      <x:c r="H5" t="str">
        <x:v>Dependencies</x:v>
      </x:c>
      <x:c r="I5" t="str">
        <x:v>Effort</x:v>
      </x:c>
      <x:c r="J5" t="str">
        <x:v>KPI</x:v>
      </x:c>
      <x:c r="K5" t="str">
        <x:v>Approval class</x:v>
      </x:c>
      <x:c r="L5" t="str">
        <x:v>Status</x:v>
      </x:c>
      <x:c r="M5" t="str">
        <x:v>Evidence</x:v>
      </x:c>
      <x:c r="N5" t="str">
        <x:v>Confidence</x:v>
      </x:c>
      <x:c r="O5" t="str">
        <x:v>Duration</x:v>
      </x:c>
      <x:c r="P5" t="str">
        <x:v>Implementation risk</x:v>
      </x:c>
      <x:c r="Q5" t="str">
        <x:v>Notes</x:v>
      </x:c>
    </x:row>
    <x:row r="6">
      <x:c r="A6" t="str">
        <x:v>A-001</x:v>
      </x:c>
      <x:c r="B6" t="str">
        <x:v>Foundation</x:v>
      </x:c>
      <x:c r="C6" t="n">
        <x:v>1</x:v>
      </x:c>
      <x:c r="D6" t="n">
        <x:v>1</x:v>
      </x:c>
      <x:c r="E6" t="str">
        <x:v>P1</x:v>
      </x:c>
      <x:c r="F6" t="str">
        <x:v>Approve the evidence boundary and unavailable-source register</x:v>
      </x:c>
      <x:c r="G6" t="str">
        <x:v>Agency admin</x:v>
      </x:c>
      <x:c r="H6" t="str">
        <x:v>None</x:v>
      </x:c>
      <x:c r="I6" t="str">
        <x:v>4h</x:v>
      </x:c>
      <x:c r="J6" t="str">
        <x:v>Gate 1 decision recorded</x:v>
      </x:c>
      <x:c r="K6" t="str">
        <x:v>agency_admin</x:v>
      </x:c>
      <x:c r="L6" t="str">
        <x:v>Ready</x:v>
      </x:c>
      <x:c r="M6" t="str">
        <x:v>EV-0001</x:v>
      </x:c>
      <x:c r="N6" s="12" t="n">
        <x:v>1</x:v>
      </x:c>
      <x:c r="O6" t="n">
        <x:f>D6-C6+1</x:f>
        <x:v>1</x:v>
      </x:c>
      <x:c r="P6" t="str">
        <x:v>low</x:v>
      </x:c>
      <x:c r="Q6" t="str">
        <x:v>Advisory only; no external system changes are executed by the studio.</x:v>
      </x:c>
    </x:row>
    <x:row r="7">
      <x:c r="A7" t="str">
        <x:v>A-002</x:v>
      </x:c>
      <x:c r="B7" t="str">
        <x:v>Foundation</x:v>
      </x:c>
      <x:c r="C7" t="n">
        <x:v>1</x:v>
      </x:c>
      <x:c r="D7" t="n">
        <x:v>2</x:v>
      </x:c>
      <x:c r="E7" t="str">
        <x:v>P1</x:v>
      </x:c>
      <x:c r="F7" t="str">
        <x:v>Connect and validate GSC, GA4, SEMrush and PageSpeed in staging</x:v>
      </x:c>
      <x:c r="G7" t="str">
        <x:v>Analyst</x:v>
      </x:c>
      <x:c r="H7" t="str">
        <x:v>A-001</x:v>
      </x:c>
      <x:c r="I7" t="str">
        <x:v>12h</x:v>
      </x:c>
      <x:c r="J7" t="str">
        <x:v>Four source readiness checks</x:v>
      </x:c>
      <x:c r="K7" t="str">
        <x:v>analyst</x:v>
      </x:c>
      <x:c r="L7" t="str">
        <x:v>Not started</x:v>
      </x:c>
      <x:c r="M7" t="str">
        <x:v>EV-UNAVAILABLE-GSC, EV-UNAVAILABLE-GA4, EV-UNAVAILABLE-SEMRUSH, EV-UNAVAILABLE-PAGESPEED</x:v>
      </x:c>
      <x:c r="N7" s="12" t="n">
        <x:v>1</x:v>
      </x:c>
      <x:c r="O7" t="n">
        <x:f>D7-C7+1</x:f>
        <x:v>2</x:v>
      </x:c>
      <x:c r="P7" t="str">
        <x:v>moderate</x:v>
      </x:c>
      <x:c r="Q7" t="str">
        <x:v>Advisory only; no external system changes are executed by the studio.</x:v>
      </x:c>
    </x:row>
    <x:row r="8">
      <x:c r="A8" t="str">
        <x:v>A-003</x:v>
      </x:c>
      <x:c r="B8" t="str">
        <x:v>Stabilise</x:v>
      </x:c>
      <x:c r="C8" t="n">
        <x:v>2</x:v>
      </x:c>
      <x:c r="D8" t="n">
        <x:v>3</x:v>
      </x:c>
      <x:c r="E8" t="str">
        <x:v>P1</x:v>
      </x:c>
      <x:c r="F8" t="str">
        <x:v>Reconcile crawl inventory, sitemaps, redirects and canonical graph</x:v>
      </x:c>
      <x:c r="G8" t="str">
        <x:v>Technical SEO</x:v>
      </x:c>
      <x:c r="H8" t="str">
        <x:v>A-001</x:v>
      </x:c>
      <x:c r="I8" t="str">
        <x:v>16h</x:v>
      </x:c>
      <x:c r="J8" t="str">
        <x:v>Zero graph safety failures</x:v>
      </x:c>
      <x:c r="K8" t="str">
        <x:v>agency_admin</x:v>
      </x:c>
      <x:c r="L8" t="str">
        <x:v>Not started</x:v>
      </x:c>
      <x:c r="M8" t="str">
        <x:v>EV-0155, EV-0199, EV-0204, EV-0205</x:v>
      </x:c>
      <x:c r="N8" s="12" t="n">
        <x:v>1</x:v>
      </x:c>
      <x:c r="O8" t="n">
        <x:f>D8-C8+1</x:f>
        <x:v>2</x:v>
      </x:c>
      <x:c r="P8" t="str">
        <x:v>high</x:v>
      </x:c>
      <x:c r="Q8" t="str">
        <x:v>Advisory only; no external system changes are executed by the studio.</x:v>
      </x:c>
    </x:row>
    <x:row r="9">
      <x:c r="A9" t="str">
        <x:v>A-004</x:v>
      </x:c>
      <x:c r="B9" t="str">
        <x:v>Stabilise</x:v>
      </x:c>
      <x:c r="C9" t="n">
        <x:v>3</x:v>
      </x:c>
      <x:c r="D9" t="n">
        <x:v>4</x:v>
      </x:c>
      <x:c r="E9" t="str">
        <x:v>P1</x:v>
      </x:c>
      <x:c r="F9" t="str">
        <x:v>Resolve high-confidence HTTP, title, meta and H1 findings</x:v>
      </x:c>
      <x:c r="G9" t="str">
        <x:v>SEO + Engineering</x:v>
      </x:c>
      <x:c r="H9" t="str">
        <x:v>A-003</x:v>
      </x:c>
      <x:c r="I9" t="str">
        <x:v>24h</x:v>
      </x:c>
      <x:c r="J9" t="str">
        <x:v>P1 finding count reduced</x:v>
      </x:c>
      <x:c r="K9" t="str">
        <x:v>analyst</x:v>
      </x:c>
      <x:c r="L9" t="str">
        <x:v>Not started</x:v>
      </x:c>
      <x:c r="M9" t="str">
        <x:v>EV-0208, EV-0209, EV-0219, EV-0222</x:v>
      </x:c>
      <x:c r="N9" s="12" t="n">
        <x:v>1</x:v>
      </x:c>
      <x:c r="O9" t="n">
        <x:f>D9-C9+1</x:f>
        <x:v>2</x:v>
      </x:c>
      <x:c r="P9" t="str">
        <x:v>moderate</x:v>
      </x:c>
      <x:c r="Q9" t="str">
        <x:v>Advisory only; no external system changes are executed by the studio.</x:v>
      </x:c>
    </x:row>
    <x:row r="10">
      <x:c r="A10" t="str">
        <x:v>A-005</x:v>
      </x:c>
      <x:c r="B10" t="str">
        <x:v>Measurement</x:v>
      </x:c>
      <x:c r="C10" t="n">
        <x:v>3</x:v>
      </x:c>
      <x:c r="D10" t="n">
        <x:v>5</x:v>
      </x:c>
      <x:c r="E10" t="str">
        <x:v>P1</x:v>
      </x:c>
      <x:c r="F10" t="str">
        <x:v>Define analytics events, conversion definitions and baseline capture</x:v>
      </x:c>
      <x:c r="G10" t="str">
        <x:v>Analytics</x:v>
      </x:c>
      <x:c r="H10" t="str">
        <x:v>A-002</x:v>
      </x:c>
      <x:c r="I10" t="str">
        <x:v>16h</x:v>
      </x:c>
      <x:c r="J10" t="str">
        <x:v>Approved measurement dictionary</x:v>
      </x:c>
      <x:c r="K10" t="str">
        <x:v>analyst</x:v>
      </x:c>
      <x:c r="L10" t="str">
        <x:v>Not started</x:v>
      </x:c>
      <x:c r="M10" t="str">
        <x:v>EV-UNAVAILABLE-GA4, EV-UNAVAILABLE-GSC</x:v>
      </x:c>
      <x:c r="N10" s="12" t="n">
        <x:v>1</x:v>
      </x:c>
      <x:c r="O10" t="n">
        <x:f>D10-C10+1</x:f>
        <x:v>3</x:v>
      </x:c>
      <x:c r="P10" t="str">
        <x:v>moderate</x:v>
      </x:c>
      <x:c r="Q10" t="str">
        <x:v>Advisory only; no external system changes are executed by the studio.</x:v>
      </x:c>
    </x:row>
    <x:row r="11">
      <x:c r="A11" t="str">
        <x:v>A-006</x:v>
      </x:c>
      <x:c r="B11" t="str">
        <x:v>Architecture</x:v>
      </x:c>
      <x:c r="C11" t="n">
        <x:v>5</x:v>
      </x:c>
      <x:c r="D11" t="n">
        <x:v>6</x:v>
      </x:c>
      <x:c r="E11" t="str">
        <x:v>P2</x:v>
      </x:c>
      <x:c r="F11" t="str">
        <x:v>Confirm canonical topic-to-URL map and cannibalisation decisions</x:v>
      </x:c>
      <x:c r="G11" t="str">
        <x:v>SEO Strategist</x:v>
      </x:c>
      <x:c r="H11" t="str">
        <x:v>A-002, A-004</x:v>
      </x:c>
      <x:c r="I11" t="str">
        <x:v>16h</x:v>
      </x:c>
      <x:c r="J11" t="str">
        <x:v>One target per approved intent</x:v>
      </x:c>
      <x:c r="K11" t="str">
        <x:v>analyst</x:v>
      </x:c>
      <x:c r="L11" t="str">
        <x:v>Not started</x:v>
      </x:c>
      <x:c r="M11" t="str">
        <x:v>EV-0022, EV-FACT-02, EV-0034, EV-FACT-02, EV-0031, EV-FACT-02</x:v>
      </x:c>
      <x:c r="N11" s="12" t="n">
        <x:v>1</x:v>
      </x:c>
      <x:c r="O11" t="n">
        <x:f>D11-C11+1</x:f>
        <x:v>2</x:v>
      </x:c>
      <x:c r="P11" t="str">
        <x:v>low</x:v>
      </x:c>
      <x:c r="Q11" t="str">
        <x:v>Advisory only; no external system changes are executed by the studio.</x:v>
      </x:c>
    </x:row>
    <x:row r="12">
      <x:c r="A12" t="str">
        <x:v>A-007</x:v>
      </x:c>
      <x:c r="B12" t="str">
        <x:v>Architecture</x:v>
      </x:c>
      <x:c r="C12" t="n">
        <x:v>6</x:v>
      </x:c>
      <x:c r="D12" t="n">
        <x:v>7</x:v>
      </x:c>
      <x:c r="E12" t="str">
        <x:v>P2</x:v>
      </x:c>
      <x:c r="F12" t="str">
        <x:v>Design evidence-supported internal-link modules</x:v>
      </x:c>
      <x:c r="G12" t="str">
        <x:v>SEO + UX</x:v>
      </x:c>
      <x:c r="H12" t="str">
        <x:v>A-006</x:v>
      </x:c>
      <x:c r="I12" t="str">
        <x:v>12h</x:v>
      </x:c>
      <x:c r="J12" t="str">
        <x:v>Approved link specification</x:v>
      </x:c>
      <x:c r="K12" t="str">
        <x:v>analyst</x:v>
      </x:c>
      <x:c r="L12" t="str">
        <x:v>Not started</x:v>
      </x:c>
      <x:c r="M12" t="str">
        <x:v>EV-0022, EV-FACT-02, EV-0034, EV-FACT-02, EV-0031, EV-FACT-02</x:v>
      </x:c>
      <x:c r="N12" s="12" t="n">
        <x:v>1</x:v>
      </x:c>
      <x:c r="O12" t="n">
        <x:f>D12-C12+1</x:f>
        <x:v>2</x:v>
      </x:c>
      <x:c r="P12" t="str">
        <x:v>low</x:v>
      </x:c>
      <x:c r="Q12" t="str">
        <x:v>Advisory only; no external system changes are executed by the studio.</x:v>
      </x:c>
    </x:row>
    <x:row r="13">
      <x:c r="A13" t="str">
        <x:v>A-008</x:v>
      </x:c>
      <x:c r="B13" t="str">
        <x:v>Deployment</x:v>
      </x:c>
      <x:c r="C13" t="n">
        <x:v>7</x:v>
      </x:c>
      <x:c r="D13" t="n">
        <x:v>8</x:v>
      </x:c>
      <x:c r="E13" t="str">
        <x:v>P2</x:v>
      </x:c>
      <x:c r="F13" t="str">
        <x:v>Stage metadata and heading changes on a representative template set</x:v>
      </x:c>
      <x:c r="G13" t="str">
        <x:v>Engineering</x:v>
      </x:c>
      <x:c r="H13" t="str">
        <x:v>A-004, A-006</x:v>
      </x:c>
      <x:c r="I13" t="str">
        <x:v>20h</x:v>
      </x:c>
      <x:c r="J13" t="str">
        <x:v>Template QA pass rate</x:v>
      </x:c>
      <x:c r="K13" t="str">
        <x:v>analyst</x:v>
      </x:c>
      <x:c r="L13" t="str">
        <x:v>Not started</x:v>
      </x:c>
      <x:c r="M13" t="str">
        <x:v>EV-0208, EV-0209, EV-0219, EV-0222</x:v>
      </x:c>
      <x:c r="N13" s="12" t="n">
        <x:v>1</x:v>
      </x:c>
      <x:c r="O13" t="n">
        <x:f>D13-C13+1</x:f>
        <x:v>2</x:v>
      </x:c>
      <x:c r="P13" t="str">
        <x:v>moderate</x:v>
      </x:c>
      <x:c r="Q13" t="str">
        <x:v>Advisory only; no external system changes are executed by the studio.</x:v>
      </x:c>
    </x:row>
    <x:row r="14">
      <x:c r="A14" t="str">
        <x:v>A-009</x:v>
      </x:c>
      <x:c r="B14" t="str">
        <x:v>Deployment</x:v>
      </x:c>
      <x:c r="C14" t="n">
        <x:v>8</x:v>
      </x:c>
      <x:c r="D14" t="n">
        <x:v>9</x:v>
      </x:c>
      <x:c r="E14" t="str">
        <x:v>P2</x:v>
      </x:c>
      <x:c r="F14" t="str">
        <x:v>Review page-specific schema candidates against verified facts</x:v>
      </x:c>
      <x:c r="G14" t="str">
        <x:v>Technical SEO</x:v>
      </x:c>
      <x:c r="H14" t="str">
        <x:v>A-006</x:v>
      </x:c>
      <x:c r="I14" t="str">
        <x:v>12h</x:v>
      </x:c>
      <x:c r="J14" t="str">
        <x:v>Zero unsupported schema properties</x:v>
      </x:c>
      <x:c r="K14" t="str">
        <x:v>agency_admin</x:v>
      </x:c>
      <x:c r="L14" t="str">
        <x:v>Not started</x:v>
      </x:c>
      <x:c r="M14" t="str">
        <x:v>EV-0001</x:v>
      </x:c>
      <x:c r="N14" s="12" t="n">
        <x:v>1</x:v>
      </x:c>
      <x:c r="O14" t="n">
        <x:f>D14-C14+1</x:f>
        <x:v>2</x:v>
      </x:c>
      <x:c r="P14" t="str">
        <x:v>high</x:v>
      </x:c>
      <x:c r="Q14" t="str">
        <x:v>Advisory only; no external system changes are executed by the studio.</x:v>
      </x:c>
    </x:row>
    <x:row r="15">
      <x:c r="A15" t="str">
        <x:v>A-010</x:v>
      </x:c>
      <x:c r="B15" t="str">
        <x:v>Content</x:v>
      </x:c>
      <x:c r="C15" t="n">
        <x:v>9</x:v>
      </x:c>
      <x:c r="D15" t="n">
        <x:v>10</x:v>
      </x:c>
      <x:c r="E15" t="str">
        <x:v>P2</x:v>
      </x:c>
      <x:c r="F15" t="str">
        <x:v>Editorially review the first three evidence-bound content refreshes</x:v>
      </x:c>
      <x:c r="G15" t="str">
        <x:v>Content Lead</x:v>
      </x:c>
      <x:c r="H15" t="str">
        <x:v>A-006</x:v>
      </x:c>
      <x:c r="I15" t="str">
        <x:v>18h</x:v>
      </x:c>
      <x:c r="J15" t="str">
        <x:v>Three human-approved drafts</x:v>
      </x:c>
      <x:c r="K15" t="str">
        <x:v>client_reviewer</x:v>
      </x:c>
      <x:c r="L15" t="str">
        <x:v>Not started</x:v>
      </x:c>
      <x:c r="M15" t="str">
        <x:v>EV-0022, EV-FACT-02, EV-0034, EV-FACT-02, EV-0031, EV-FACT-02</x:v>
      </x:c>
      <x:c r="N15" s="12" t="n">
        <x:v>1</x:v>
      </x:c>
      <x:c r="O15" t="n">
        <x:f>D15-C15+1</x:f>
        <x:v>2</x:v>
      </x:c>
      <x:c r="P15" t="str">
        <x:v>low</x:v>
      </x:c>
      <x:c r="Q15" t="str">
        <x:v>Advisory only; no external system changes are executed by the studio.</x:v>
      </x:c>
    </x:row>
    <x:row r="16">
      <x:c r="A16" t="str">
        <x:v>A-011</x:v>
      </x:c>
      <x:c r="B16" t="str">
        <x:v>Content</x:v>
      </x:c>
      <x:c r="C16" t="n">
        <x:v>10</x:v>
      </x:c>
      <x:c r="D16" t="n">
        <x:v>11</x:v>
      </x:c>
      <x:c r="E16" t="str">
        <x:v>P2</x:v>
      </x:c>
      <x:c r="F16" t="str">
        <x:v>Editorially review the remaining distinct content refreshes</x:v>
      </x:c>
      <x:c r="G16" t="str">
        <x:v>Content Lead</x:v>
      </x:c>
      <x:c r="H16" t="str">
        <x:v>A-010</x:v>
      </x:c>
      <x:c r="I16" t="str">
        <x:v>18h</x:v>
      </x:c>
      <x:c r="J16" t="str">
        <x:v>3 additional approvals</x:v>
      </x:c>
      <x:c r="K16" t="str">
        <x:v>client_reviewer</x:v>
      </x:c>
      <x:c r="L16" t="str">
        <x:v>Not started</x:v>
      </x:c>
      <x:c r="M16" t="str">
        <x:v>EV-0022, EV-FACT-02, EV-0034, EV-FACT-02, EV-0031, EV-FACT-02</x:v>
      </x:c>
      <x:c r="N16" s="12" t="n">
        <x:v>1</x:v>
      </x:c>
      <x:c r="O16" t="n">
        <x:f>D16-C16+1</x:f>
        <x:v>2</x:v>
      </x:c>
      <x:c r="P16" t="str">
        <x:v>low</x:v>
      </x:c>
      <x:c r="Q16" t="str">
        <x:v>Advisory only; no external system changes are executed by the studio.</x:v>
      </x:c>
    </x:row>
    <x:row r="17">
      <x:c r="A17" t="str">
        <x:v>A-012</x:v>
      </x:c>
      <x:c r="B17" t="str">
        <x:v>Local</x:v>
      </x:c>
      <x:c r="C17" t="n">
        <x:v>11</x:v>
      </x:c>
      <x:c r="D17" t="n">
        <x:v>12</x:v>
      </x:c>
      <x:c r="E17" t="str">
        <x:v>P3</x:v>
      </x:c>
      <x:c r="F17" t="str">
        <x:v>Import and reconcile GBP/BrightLocal evidence before local changes</x:v>
      </x:c>
      <x:c r="G17" t="str">
        <x:v>Local SEO</x:v>
      </x:c>
      <x:c r="H17" t="str">
        <x:v>A-002</x:v>
      </x:c>
      <x:c r="I17" t="str">
        <x:v>10h</x:v>
      </x:c>
      <x:c r="J17" t="str">
        <x:v>Local fact reconciliation</x:v>
      </x:c>
      <x:c r="K17" t="str">
        <x:v>analyst</x:v>
      </x:c>
      <x:c r="L17" t="str">
        <x:v>Not started</x:v>
      </x:c>
      <x:c r="M17" t="str">
        <x:v>EV-0001</x:v>
      </x:c>
      <x:c r="N17" s="12" t="n">
        <x:v>1</x:v>
      </x:c>
      <x:c r="O17" t="n">
        <x:f>D17-C17+1</x:f>
        <x:v>2</x:v>
      </x:c>
      <x:c r="P17" t="str">
        <x:v>moderate</x:v>
      </x:c>
      <x:c r="Q17" t="str">
        <x:v>Advisory only; no external system changes are executed by the studio.</x:v>
      </x:c>
    </x:row>
    <x:row r="18">
      <x:c r="A18" t="str">
        <x:v>A-013</x:v>
      </x:c>
      <x:c r="B18" t="str">
        <x:v>CRO</x:v>
      </x:c>
      <x:c r="C18" t="n">
        <x:v>11</x:v>
      </x:c>
      <x:c r="D18" t="n">
        <x:v>13</x:v>
      </x:c>
      <x:c r="E18" t="str">
        <x:v>P3</x:v>
      </x:c>
      <x:c r="F18" t="str">
        <x:v>Run accessibility and conversion-path review with analytics baselines</x:v>
      </x:c>
      <x:c r="G18" t="str">
        <x:v>UX + Analytics</x:v>
      </x:c>
      <x:c r="H18" t="str">
        <x:v>A-005, A-008</x:v>
      </x:c>
      <x:c r="I18" t="str">
        <x:v>18h</x:v>
      </x:c>
      <x:c r="J18" t="str">
        <x:v>Approved experiment backlog</x:v>
      </x:c>
      <x:c r="K18" t="str">
        <x:v>analyst</x:v>
      </x:c>
      <x:c r="L18" t="str">
        <x:v>Not started</x:v>
      </x:c>
      <x:c r="M18" t="str">
        <x:v>EV-UNAVAILABLE-GA4, EV-0001</x:v>
      </x:c>
      <x:c r="N18" s="12" t="n">
        <x:v>1</x:v>
      </x:c>
      <x:c r="O18" t="n">
        <x:f>D18-C18+1</x:f>
        <x:v>3</x:v>
      </x:c>
      <x:c r="P18" t="str">
        <x:v>low</x:v>
      </x:c>
      <x:c r="Q18" t="str">
        <x:v>Advisory only; no external system changes are executed by the studio.</x:v>
      </x:c>
    </x:row>
    <x:row r="19">
      <x:c r="A19" t="str">
        <x:v>A-014</x:v>
      </x:c>
      <x:c r="B19" t="str">
        <x:v>Validation</x:v>
      </x:c>
      <x:c r="C19" t="n">
        <x:v>13</x:v>
      </x:c>
      <x:c r="D19" t="n">
        <x:v>14</x:v>
      </x:c>
      <x:c r="E19" t="str">
        <x:v>P1</x:v>
      </x:c>
      <x:c r="F19" t="str">
        <x:v>Execute staging crawl, link, canonical, schema and render QA</x:v>
      </x:c>
      <x:c r="G19" t="str">
        <x:v>QA</x:v>
      </x:c>
      <x:c r="H19" t="str">
        <x:v>A-007, A-008, A-009, A-011</x:v>
      </x:c>
      <x:c r="I19" t="str">
        <x:v>20h</x:v>
      </x:c>
      <x:c r="J19" t="str">
        <x:v>Zero Critical or High QA failures</x:v>
      </x:c>
      <x:c r="K19" t="str">
        <x:v>agency_admin</x:v>
      </x:c>
      <x:c r="L19" t="str">
        <x:v>Not started</x:v>
      </x:c>
      <x:c r="M19" t="str">
        <x:v>EV-0155, EV-0199, EV-0204, EV-0205</x:v>
      </x:c>
      <x:c r="N19" s="12" t="n">
        <x:v>1</x:v>
      </x:c>
      <x:c r="O19" t="n">
        <x:f>D19-C19+1</x:f>
        <x:v>2</x:v>
      </x:c>
      <x:c r="P19" t="str">
        <x:v>moderate</x:v>
      </x:c>
      <x:c r="Q19" t="str">
        <x:v>Advisory only; no external system changes are executed by the studio.</x:v>
      </x:c>
    </x:row>
    <x:row r="20">
      <x:c r="A20" t="str">
        <x:v>A-015</x:v>
      </x:c>
      <x:c r="B20" t="str">
        <x:v>Validation</x:v>
      </x:c>
      <x:c r="C20" t="n">
        <x:v>14</x:v>
      </x:c>
      <x:c r="D20" t="n">
        <x:v>15</x:v>
      </x:c>
      <x:c r="E20" t="str">
        <x:v>P1</x:v>
      </x:c>
      <x:c r="F20" t="str">
        <x:v>Reconcile UI, workbooks, reports, deck and manifest</x:v>
      </x:c>
      <x:c r="G20" t="str">
        <x:v>QA</x:v>
      </x:c>
      <x:c r="H20" t="str">
        <x:v>A-014</x:v>
      </x:c>
      <x:c r="I20" t="str">
        <x:v>12h</x:v>
      </x:c>
      <x:c r="J20" t="str">
        <x:v>All canonical counts match</x:v>
      </x:c>
      <x:c r="K20" t="str">
        <x:v>analyst</x:v>
      </x:c>
      <x:c r="L20" t="str">
        <x:v>Not started</x:v>
      </x:c>
      <x:c r="M20" t="str">
        <x:v>EV-0001</x:v>
      </x:c>
      <x:c r="N20" s="12" t="n">
        <x:v>1</x:v>
      </x:c>
      <x:c r="O20" t="n">
        <x:f>D20-C20+1</x:f>
        <x:v>2</x:v>
      </x:c>
      <x:c r="P20" t="str">
        <x:v>low</x:v>
      </x:c>
      <x:c r="Q20" t="str">
        <x:v>Advisory only; no external system changes are executed by the studio.</x:v>
      </x:c>
    </x:row>
    <x:row r="21">
      <x:c r="A21" t="str">
        <x:v>A-016</x:v>
      </x:c>
      <x:c r="B21" t="str">
        <x:v>Approval</x:v>
      </x:c>
      <x:c r="C21" t="n">
        <x:v>16</x:v>
      </x:c>
      <x:c r="D21" t="n">
        <x:v>16</x:v>
      </x:c>
      <x:c r="E21" t="str">
        <x:v>P1</x:v>
      </x:c>
      <x:c r="F21" t="str">
        <x:v>Complete Gate 2, final QA and controlled production decision</x:v>
      </x:c>
      <x:c r="G21" t="str">
        <x:v>Agency admin + client</x:v>
      </x:c>
      <x:c r="H21" t="str">
        <x:v>A-015</x:v>
      </x:c>
      <x:c r="I21" t="str">
        <x:v>8h</x:v>
      </x:c>
      <x:c r="J21" t="str">
        <x:v>Documented approve or revise decision</x:v>
      </x:c>
      <x:c r="K21" t="str">
        <x:v>agency_admin</x:v>
      </x:c>
      <x:c r="L21" t="str">
        <x:v>Not started</x:v>
      </x:c>
      <x:c r="M21" t="str">
        <x:v>EV-0001</x:v>
      </x:c>
      <x:c r="N21" s="12" t="n">
        <x:v>1</x:v>
      </x:c>
      <x:c r="O21" t="n">
        <x:f>D21-C21+1</x:f>
        <x:v>1</x:v>
      </x:c>
      <x:c r="P21" t="str">
        <x:v>high</x:v>
      </x:c>
      <x:c r="Q21" t="str">
        <x:v>Advisory only; no external system changes are executed by the studio.</x:v>
      </x:c>
    </x:row>
  </x:sheetData>
  <x:mergeCells>
    <x:mergeCell ref="A1:Q1"/>
    <x:mergeCell ref="A2:Q2"/>
  </x:mergeCells>
  <x:conditionalFormatting sqref="E6:E21">
    <x:cfRule type="containsText" dxfId="0" priority="1" operator="containsText" text="P1"/>
  </x:conditionalFormatting>
  <x:conditionalFormatting sqref="L6:L21">
    <x:cfRule type="containsText" dxfId="1" priority="2" operator="containsText" text="Complete"/>
  </x:conditionalFormatting>
  <x:dataValidations count="1">
    <x:dataValidation type="list" sqref="L6:L21">
      <x:formula1>"Not started,Ready,In progress,Blocked,Review,Approved,Complete"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d828dd8209a49c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55" hidden="0" customWidth="1"/>
    <x:col min="3" max="3" width="10" hidden="0" customWidth="1"/>
    <x:col min="4" max="4" width="10" hidden="0" customWidth="1"/>
    <x:col min="5" max="5" width="23" hidden="0" customWidth="1"/>
    <x:col min="6" max="6" width="5.5" hidden="0" customWidth="1"/>
    <x:col min="7" max="7" width="5.5" hidden="0" customWidth="1"/>
    <x:col min="8" max="8" width="5.5" hidden="0" customWidth="1"/>
    <x:col min="9" max="9" width="5.5" hidden="0" customWidth="1"/>
    <x:col min="10" max="10" width="5.5" hidden="0" customWidth="1"/>
    <x:col min="11" max="11" width="5.5" hidden="0" customWidth="1"/>
    <x:col min="12" max="12" width="5.5" hidden="0" customWidth="1"/>
    <x:col min="13" max="13" width="5.5" hidden="0" customWidth="1"/>
    <x:col min="14" max="14" width="5.5" hidden="0" customWidth="1"/>
    <x:col min="15" max="15" width="5.5" hidden="0" customWidth="1"/>
    <x:col min="16" max="16" width="5.5" hidden="0" customWidth="1"/>
    <x:col min="17" max="17" width="5.5" hidden="0" customWidth="1"/>
    <x:col min="18" max="18" width="5.5" hidden="0" customWidth="1"/>
    <x:col min="19" max="19" width="5.5" hidden="0" customWidth="1"/>
    <x:col min="20" max="20" width="5.5" hidden="0" customWidth="1"/>
    <x:col min="21" max="21" width="5.5" hidden="0" customWidth="1"/>
  </x:cols>
  <x:sheetData>
    <x:row r="1" ht="34" customHeight="1">
      <x:c r="A1" s="3" t="str">
        <x:v>16-week Gantt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</x:row>
    <x:row r="2" ht="30" customHeight="1">
      <x:c r="A2" s="6" t="str">
        <x:v>Formula-backed schedule derived from canonical week start and end fields.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</x:row>
    <x:row r="3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  <x:c r="P3" s="7"/>
      <x:c r="Q3" s="7"/>
      <x:c r="R3" s="7"/>
      <x:c r="S3" s="7"/>
      <x:c r="T3" s="7"/>
      <x:c r="U3" s="7"/>
    </x:row>
    <x:row r="5">
      <x:c r="A5" s="16" t="str">
        <x:v>ID</x:v>
      </x:c>
      <x:c r="B5" s="16" t="str">
        <x:v>Action</x:v>
      </x:c>
      <x:c r="C5" s="16" t="str">
        <x:v>Start</x:v>
      </x:c>
      <x:c r="D5" s="16" t="str">
        <x:v>End</x:v>
      </x:c>
      <x:c r="E5" s="16" t="str">
        <x:v>Owner</x:v>
      </x:c>
      <x:c r="F5" s="16" t="n">
        <x:v>1</x:v>
      </x:c>
      <x:c r="G5" s="16" t="n">
        <x:v>2</x:v>
      </x:c>
      <x:c r="H5" s="16" t="n">
        <x:v>3</x:v>
      </x:c>
      <x:c r="I5" s="16" t="n">
        <x:v>4</x:v>
      </x:c>
      <x:c r="J5" s="16" t="n">
        <x:v>5</x:v>
      </x:c>
      <x:c r="K5" s="16" t="n">
        <x:v>6</x:v>
      </x:c>
      <x:c r="L5" s="16" t="n">
        <x:v>7</x:v>
      </x:c>
      <x:c r="M5" s="16" t="n">
        <x:v>8</x:v>
      </x:c>
      <x:c r="N5" s="16" t="n">
        <x:v>9</x:v>
      </x:c>
      <x:c r="O5" s="16" t="n">
        <x:v>10</x:v>
      </x:c>
      <x:c r="P5" s="16" t="n">
        <x:v>11</x:v>
      </x:c>
      <x:c r="Q5" s="16" t="n">
        <x:v>12</x:v>
      </x:c>
      <x:c r="R5" s="16" t="n">
        <x:v>13</x:v>
      </x:c>
      <x:c r="S5" s="16" t="n">
        <x:v>14</x:v>
      </x:c>
      <x:c r="T5" s="16" t="n">
        <x:v>15</x:v>
      </x:c>
      <x:c r="U5" s="16" t="n">
        <x:v>16</x:v>
      </x:c>
    </x:row>
    <x:row r="6">
      <x:c r="A6" s="11" t="str">
        <x:v>A-001</x:v>
      </x:c>
      <x:c r="B6" s="11" t="str">
        <x:v>Approve the evidence boundary and unavailable-source register</x:v>
      </x:c>
      <x:c r="C6" s="11" t="n">
        <x:v>1</x:v>
      </x:c>
      <x:c r="D6" s="11" t="n">
        <x:v>1</x:v>
      </x:c>
      <x:c r="E6" s="11" t="str">
        <x:v>Agency admin</x:v>
      </x:c>
      <x:c r="F6" s="17" t="n">
        <x:f>IF(AND(F$5&gt;=$C6,F$5&lt;=$D6),1,0)</x:f>
        <x:v>1</x:v>
      </x:c>
      <x:c r="G6" s="17" t="n">
        <x:f>IF(AND(G$5&gt;=$C6,G$5&lt;=$D6),1,0)</x:f>
        <x:v>0</x:v>
      </x:c>
      <x:c r="H6" s="17" t="n">
        <x:f>IF(AND(H$5&gt;=$C6,H$5&lt;=$D6),1,0)</x:f>
        <x:v>0</x:v>
      </x:c>
      <x:c r="I6" s="17" t="n">
        <x:f>IF(AND(I$5&gt;=$C6,I$5&lt;=$D6),1,0)</x:f>
        <x:v>0</x:v>
      </x:c>
      <x:c r="J6" s="17" t="n">
        <x:f>IF(AND(J$5&gt;=$C6,J$5&lt;=$D6),1,0)</x:f>
        <x:v>0</x:v>
      </x:c>
      <x:c r="K6" s="17" t="n">
        <x:f>IF(AND(K$5&gt;=$C6,K$5&lt;=$D6),1,0)</x:f>
        <x:v>0</x:v>
      </x:c>
      <x:c r="L6" s="17" t="n">
        <x:f>IF(AND(L$5&gt;=$C6,L$5&lt;=$D6),1,0)</x:f>
        <x:v>0</x:v>
      </x:c>
      <x:c r="M6" s="17" t="n">
        <x:f>IF(AND(M$5&gt;=$C6,M$5&lt;=$D6),1,0)</x:f>
        <x:v>0</x:v>
      </x:c>
      <x:c r="N6" s="17" t="n">
        <x:f>IF(AND(N$5&gt;=$C6,N$5&lt;=$D6),1,0)</x:f>
        <x:v>0</x:v>
      </x:c>
      <x:c r="O6" s="17" t="n">
        <x:f>IF(AND(O$5&gt;=$C6,O$5&lt;=$D6),1,0)</x:f>
        <x:v>0</x:v>
      </x:c>
      <x:c r="P6" s="17" t="n">
        <x:f>IF(AND(P$5&gt;=$C6,P$5&lt;=$D6),1,0)</x:f>
        <x:v>0</x:v>
      </x:c>
      <x:c r="Q6" s="17" t="n">
        <x:f>IF(AND(Q$5&gt;=$C6,Q$5&lt;=$D6),1,0)</x:f>
        <x:v>0</x:v>
      </x:c>
      <x:c r="R6" s="17" t="n">
        <x:f>IF(AND(R$5&gt;=$C6,R$5&lt;=$D6),1,0)</x:f>
        <x:v>0</x:v>
      </x:c>
      <x:c r="S6" s="17" t="n">
        <x:f>IF(AND(S$5&gt;=$C6,S$5&lt;=$D6),1,0)</x:f>
        <x:v>0</x:v>
      </x:c>
      <x:c r="T6" s="17" t="n">
        <x:f>IF(AND(T$5&gt;=$C6,T$5&lt;=$D6),1,0)</x:f>
        <x:v>0</x:v>
      </x:c>
      <x:c r="U6" s="17" t="n">
        <x:f>IF(AND(U$5&gt;=$C6,U$5&lt;=$D6),1,0)</x:f>
        <x:v>0</x:v>
      </x:c>
    </x:row>
    <x:row r="7">
      <x:c r="A7" s="11" t="str">
        <x:v>A-002</x:v>
      </x:c>
      <x:c r="B7" s="11" t="str">
        <x:v>Connect and validate GSC, GA4, SEMrush and PageSpeed in staging</x:v>
      </x:c>
      <x:c r="C7" s="11" t="n">
        <x:v>1</x:v>
      </x:c>
      <x:c r="D7" s="11" t="n">
        <x:v>2</x:v>
      </x:c>
      <x:c r="E7" s="11" t="str">
        <x:v>Analyst</x:v>
      </x:c>
      <x:c r="F7" s="17" t="n">
        <x:f>IF(AND(F$5&gt;=$C7,F$5&lt;=$D7),1,0)</x:f>
        <x:v>1</x:v>
      </x:c>
      <x:c r="G7" s="17" t="n">
        <x:f>IF(AND(G$5&gt;=$C7,G$5&lt;=$D7),1,0)</x:f>
        <x:v>1</x:v>
      </x:c>
      <x:c r="H7" s="17" t="n">
        <x:f>IF(AND(H$5&gt;=$C7,H$5&lt;=$D7),1,0)</x:f>
        <x:v>0</x:v>
      </x:c>
      <x:c r="I7" s="17" t="n">
        <x:f>IF(AND(I$5&gt;=$C7,I$5&lt;=$D7),1,0)</x:f>
        <x:v>0</x:v>
      </x:c>
      <x:c r="J7" s="17" t="n">
        <x:f>IF(AND(J$5&gt;=$C7,J$5&lt;=$D7),1,0)</x:f>
        <x:v>0</x:v>
      </x:c>
      <x:c r="K7" s="17" t="n">
        <x:f>IF(AND(K$5&gt;=$C7,K$5&lt;=$D7),1,0)</x:f>
        <x:v>0</x:v>
      </x:c>
      <x:c r="L7" s="17" t="n">
        <x:f>IF(AND(L$5&gt;=$C7,L$5&lt;=$D7),1,0)</x:f>
        <x:v>0</x:v>
      </x:c>
      <x:c r="M7" s="17" t="n">
        <x:f>IF(AND(M$5&gt;=$C7,M$5&lt;=$D7),1,0)</x:f>
        <x:v>0</x:v>
      </x:c>
      <x:c r="N7" s="17" t="n">
        <x:f>IF(AND(N$5&gt;=$C7,N$5&lt;=$D7),1,0)</x:f>
        <x:v>0</x:v>
      </x:c>
      <x:c r="O7" s="17" t="n">
        <x:f>IF(AND(O$5&gt;=$C7,O$5&lt;=$D7),1,0)</x:f>
        <x:v>0</x:v>
      </x:c>
      <x:c r="P7" s="17" t="n">
        <x:f>IF(AND(P$5&gt;=$C7,P$5&lt;=$D7),1,0)</x:f>
        <x:v>0</x:v>
      </x:c>
      <x:c r="Q7" s="17" t="n">
        <x:f>IF(AND(Q$5&gt;=$C7,Q$5&lt;=$D7),1,0)</x:f>
        <x:v>0</x:v>
      </x:c>
      <x:c r="R7" s="17" t="n">
        <x:f>IF(AND(R$5&gt;=$C7,R$5&lt;=$D7),1,0)</x:f>
        <x:v>0</x:v>
      </x:c>
      <x:c r="S7" s="17" t="n">
        <x:f>IF(AND(S$5&gt;=$C7,S$5&lt;=$D7),1,0)</x:f>
        <x:v>0</x:v>
      </x:c>
      <x:c r="T7" s="17" t="n">
        <x:f>IF(AND(T$5&gt;=$C7,T$5&lt;=$D7),1,0)</x:f>
        <x:v>0</x:v>
      </x:c>
      <x:c r="U7" s="17" t="n">
        <x:f>IF(AND(U$5&gt;=$C7,U$5&lt;=$D7),1,0)</x:f>
        <x:v>0</x:v>
      </x:c>
    </x:row>
    <x:row r="8">
      <x:c r="A8" s="11" t="str">
        <x:v>A-003</x:v>
      </x:c>
      <x:c r="B8" s="11" t="str">
        <x:v>Reconcile crawl inventory, sitemaps, redirects and canonical graph</x:v>
      </x:c>
      <x:c r="C8" s="11" t="n">
        <x:v>2</x:v>
      </x:c>
      <x:c r="D8" s="11" t="n">
        <x:v>3</x:v>
      </x:c>
      <x:c r="E8" s="11" t="str">
        <x:v>Technical SEO</x:v>
      </x:c>
      <x:c r="F8" s="17" t="n">
        <x:f>IF(AND(F$5&gt;=$C8,F$5&lt;=$D8),1,0)</x:f>
        <x:v>0</x:v>
      </x:c>
      <x:c r="G8" s="17" t="n">
        <x:f>IF(AND(G$5&gt;=$C8,G$5&lt;=$D8),1,0)</x:f>
        <x:v>1</x:v>
      </x:c>
      <x:c r="H8" s="17" t="n">
        <x:f>IF(AND(H$5&gt;=$C8,H$5&lt;=$D8),1,0)</x:f>
        <x:v>1</x:v>
      </x:c>
      <x:c r="I8" s="17" t="n">
        <x:f>IF(AND(I$5&gt;=$C8,I$5&lt;=$D8),1,0)</x:f>
        <x:v>0</x:v>
      </x:c>
      <x:c r="J8" s="17" t="n">
        <x:f>IF(AND(J$5&gt;=$C8,J$5&lt;=$D8),1,0)</x:f>
        <x:v>0</x:v>
      </x:c>
      <x:c r="K8" s="17" t="n">
        <x:f>IF(AND(K$5&gt;=$C8,K$5&lt;=$D8),1,0)</x:f>
        <x:v>0</x:v>
      </x:c>
      <x:c r="L8" s="17" t="n">
        <x:f>IF(AND(L$5&gt;=$C8,L$5&lt;=$D8),1,0)</x:f>
        <x:v>0</x:v>
      </x:c>
      <x:c r="M8" s="17" t="n">
        <x:f>IF(AND(M$5&gt;=$C8,M$5&lt;=$D8),1,0)</x:f>
        <x:v>0</x:v>
      </x:c>
      <x:c r="N8" s="17" t="n">
        <x:f>IF(AND(N$5&gt;=$C8,N$5&lt;=$D8),1,0)</x:f>
        <x:v>0</x:v>
      </x:c>
      <x:c r="O8" s="17" t="n">
        <x:f>IF(AND(O$5&gt;=$C8,O$5&lt;=$D8),1,0)</x:f>
        <x:v>0</x:v>
      </x:c>
      <x:c r="P8" s="17" t="n">
        <x:f>IF(AND(P$5&gt;=$C8,P$5&lt;=$D8),1,0)</x:f>
        <x:v>0</x:v>
      </x:c>
      <x:c r="Q8" s="17" t="n">
        <x:f>IF(AND(Q$5&gt;=$C8,Q$5&lt;=$D8),1,0)</x:f>
        <x:v>0</x:v>
      </x:c>
      <x:c r="R8" s="17" t="n">
        <x:f>IF(AND(R$5&gt;=$C8,R$5&lt;=$D8),1,0)</x:f>
        <x:v>0</x:v>
      </x:c>
      <x:c r="S8" s="17" t="n">
        <x:f>IF(AND(S$5&gt;=$C8,S$5&lt;=$D8),1,0)</x:f>
        <x:v>0</x:v>
      </x:c>
      <x:c r="T8" s="17" t="n">
        <x:f>IF(AND(T$5&gt;=$C8,T$5&lt;=$D8),1,0)</x:f>
        <x:v>0</x:v>
      </x:c>
      <x:c r="U8" s="17" t="n">
        <x:f>IF(AND(U$5&gt;=$C8,U$5&lt;=$D8),1,0)</x:f>
        <x:v>0</x:v>
      </x:c>
    </x:row>
    <x:row r="9">
      <x:c r="A9" s="11" t="str">
        <x:v>A-004</x:v>
      </x:c>
      <x:c r="B9" s="11" t="str">
        <x:v>Resolve high-confidence HTTP, title, meta and H1 findings</x:v>
      </x:c>
      <x:c r="C9" s="11" t="n">
        <x:v>3</x:v>
      </x:c>
      <x:c r="D9" s="11" t="n">
        <x:v>4</x:v>
      </x:c>
      <x:c r="E9" s="11" t="str">
        <x:v>SEO + Engineering</x:v>
      </x:c>
      <x:c r="F9" s="17" t="n">
        <x:f>IF(AND(F$5&gt;=$C9,F$5&lt;=$D9),1,0)</x:f>
        <x:v>0</x:v>
      </x:c>
      <x:c r="G9" s="17" t="n">
        <x:f>IF(AND(G$5&gt;=$C9,G$5&lt;=$D9),1,0)</x:f>
        <x:v>0</x:v>
      </x:c>
      <x:c r="H9" s="17" t="n">
        <x:f>IF(AND(H$5&gt;=$C9,H$5&lt;=$D9),1,0)</x:f>
        <x:v>1</x:v>
      </x:c>
      <x:c r="I9" s="17" t="n">
        <x:f>IF(AND(I$5&gt;=$C9,I$5&lt;=$D9),1,0)</x:f>
        <x:v>1</x:v>
      </x:c>
      <x:c r="J9" s="17" t="n">
        <x:f>IF(AND(J$5&gt;=$C9,J$5&lt;=$D9),1,0)</x:f>
        <x:v>0</x:v>
      </x:c>
      <x:c r="K9" s="17" t="n">
        <x:f>IF(AND(K$5&gt;=$C9,K$5&lt;=$D9),1,0)</x:f>
        <x:v>0</x:v>
      </x:c>
      <x:c r="L9" s="17" t="n">
        <x:f>IF(AND(L$5&gt;=$C9,L$5&lt;=$D9),1,0)</x:f>
        <x:v>0</x:v>
      </x:c>
      <x:c r="M9" s="17" t="n">
        <x:f>IF(AND(M$5&gt;=$C9,M$5&lt;=$D9),1,0)</x:f>
        <x:v>0</x:v>
      </x:c>
      <x:c r="N9" s="17" t="n">
        <x:f>IF(AND(N$5&gt;=$C9,N$5&lt;=$D9),1,0)</x:f>
        <x:v>0</x:v>
      </x:c>
      <x:c r="O9" s="17" t="n">
        <x:f>IF(AND(O$5&gt;=$C9,O$5&lt;=$D9),1,0)</x:f>
        <x:v>0</x:v>
      </x:c>
      <x:c r="P9" s="17" t="n">
        <x:f>IF(AND(P$5&gt;=$C9,P$5&lt;=$D9),1,0)</x:f>
        <x:v>0</x:v>
      </x:c>
      <x:c r="Q9" s="17" t="n">
        <x:f>IF(AND(Q$5&gt;=$C9,Q$5&lt;=$D9),1,0)</x:f>
        <x:v>0</x:v>
      </x:c>
      <x:c r="R9" s="17" t="n">
        <x:f>IF(AND(R$5&gt;=$C9,R$5&lt;=$D9),1,0)</x:f>
        <x:v>0</x:v>
      </x:c>
      <x:c r="S9" s="17" t="n">
        <x:f>IF(AND(S$5&gt;=$C9,S$5&lt;=$D9),1,0)</x:f>
        <x:v>0</x:v>
      </x:c>
      <x:c r="T9" s="17" t="n">
        <x:f>IF(AND(T$5&gt;=$C9,T$5&lt;=$D9),1,0)</x:f>
        <x:v>0</x:v>
      </x:c>
      <x:c r="U9" s="17" t="n">
        <x:f>IF(AND(U$5&gt;=$C9,U$5&lt;=$D9),1,0)</x:f>
        <x:v>0</x:v>
      </x:c>
    </x:row>
    <x:row r="10">
      <x:c r="A10" s="11" t="str">
        <x:v>A-005</x:v>
      </x:c>
      <x:c r="B10" s="11" t="str">
        <x:v>Define analytics events, conversion definitions and baseline capture</x:v>
      </x:c>
      <x:c r="C10" s="11" t="n">
        <x:v>3</x:v>
      </x:c>
      <x:c r="D10" s="11" t="n">
        <x:v>5</x:v>
      </x:c>
      <x:c r="E10" s="11" t="str">
        <x:v>Analytics</x:v>
      </x:c>
      <x:c r="F10" s="17" t="n">
        <x:f>IF(AND(F$5&gt;=$C10,F$5&lt;=$D10),1,0)</x:f>
        <x:v>0</x:v>
      </x:c>
      <x:c r="G10" s="17" t="n">
        <x:f>IF(AND(G$5&gt;=$C10,G$5&lt;=$D10),1,0)</x:f>
        <x:v>0</x:v>
      </x:c>
      <x:c r="H10" s="17" t="n">
        <x:f>IF(AND(H$5&gt;=$C10,H$5&lt;=$D10),1,0)</x:f>
        <x:v>1</x:v>
      </x:c>
      <x:c r="I10" s="17" t="n">
        <x:f>IF(AND(I$5&gt;=$C10,I$5&lt;=$D10),1,0)</x:f>
        <x:v>1</x:v>
      </x:c>
      <x:c r="J10" s="17" t="n">
        <x:f>IF(AND(J$5&gt;=$C10,J$5&lt;=$D10),1,0)</x:f>
        <x:v>1</x:v>
      </x:c>
      <x:c r="K10" s="17" t="n">
        <x:f>IF(AND(K$5&gt;=$C10,K$5&lt;=$D10),1,0)</x:f>
        <x:v>0</x:v>
      </x:c>
      <x:c r="L10" s="17" t="n">
        <x:f>IF(AND(L$5&gt;=$C10,L$5&lt;=$D10),1,0)</x:f>
        <x:v>0</x:v>
      </x:c>
      <x:c r="M10" s="17" t="n">
        <x:f>IF(AND(M$5&gt;=$C10,M$5&lt;=$D10),1,0)</x:f>
        <x:v>0</x:v>
      </x:c>
      <x:c r="N10" s="17" t="n">
        <x:f>IF(AND(N$5&gt;=$C10,N$5&lt;=$D10),1,0)</x:f>
        <x:v>0</x:v>
      </x:c>
      <x:c r="O10" s="17" t="n">
        <x:f>IF(AND(O$5&gt;=$C10,O$5&lt;=$D10),1,0)</x:f>
        <x:v>0</x:v>
      </x:c>
      <x:c r="P10" s="17" t="n">
        <x:f>IF(AND(P$5&gt;=$C10,P$5&lt;=$D10),1,0)</x:f>
        <x:v>0</x:v>
      </x:c>
      <x:c r="Q10" s="17" t="n">
        <x:f>IF(AND(Q$5&gt;=$C10,Q$5&lt;=$D10),1,0)</x:f>
        <x:v>0</x:v>
      </x:c>
      <x:c r="R10" s="17" t="n">
        <x:f>IF(AND(R$5&gt;=$C10,R$5&lt;=$D10),1,0)</x:f>
        <x:v>0</x:v>
      </x:c>
      <x:c r="S10" s="17" t="n">
        <x:f>IF(AND(S$5&gt;=$C10,S$5&lt;=$D10),1,0)</x:f>
        <x:v>0</x:v>
      </x:c>
      <x:c r="T10" s="17" t="n">
        <x:f>IF(AND(T$5&gt;=$C10,T$5&lt;=$D10),1,0)</x:f>
        <x:v>0</x:v>
      </x:c>
      <x:c r="U10" s="17" t="n">
        <x:f>IF(AND(U$5&gt;=$C10,U$5&lt;=$D10),1,0)</x:f>
        <x:v>0</x:v>
      </x:c>
    </x:row>
    <x:row r="11">
      <x:c r="A11" s="11" t="str">
        <x:v>A-006</x:v>
      </x:c>
      <x:c r="B11" s="11" t="str">
        <x:v>Confirm canonical topic-to-URL map and cannibalisation decisions</x:v>
      </x:c>
      <x:c r="C11" s="11" t="n">
        <x:v>5</x:v>
      </x:c>
      <x:c r="D11" s="11" t="n">
        <x:v>6</x:v>
      </x:c>
      <x:c r="E11" s="11" t="str">
        <x:v>SEO Strategist</x:v>
      </x:c>
      <x:c r="F11" s="17" t="n">
        <x:f>IF(AND(F$5&gt;=$C11,F$5&lt;=$D11),1,0)</x:f>
        <x:v>0</x:v>
      </x:c>
      <x:c r="G11" s="17" t="n">
        <x:f>IF(AND(G$5&gt;=$C11,G$5&lt;=$D11),1,0)</x:f>
        <x:v>0</x:v>
      </x:c>
      <x:c r="H11" s="17" t="n">
        <x:f>IF(AND(H$5&gt;=$C11,H$5&lt;=$D11),1,0)</x:f>
        <x:v>0</x:v>
      </x:c>
      <x:c r="I11" s="17" t="n">
        <x:f>IF(AND(I$5&gt;=$C11,I$5&lt;=$D11),1,0)</x:f>
        <x:v>0</x:v>
      </x:c>
      <x:c r="J11" s="17" t="n">
        <x:f>IF(AND(J$5&gt;=$C11,J$5&lt;=$D11),1,0)</x:f>
        <x:v>1</x:v>
      </x:c>
      <x:c r="K11" s="17" t="n">
        <x:f>IF(AND(K$5&gt;=$C11,K$5&lt;=$D11),1,0)</x:f>
        <x:v>1</x:v>
      </x:c>
      <x:c r="L11" s="17" t="n">
        <x:f>IF(AND(L$5&gt;=$C11,L$5&lt;=$D11),1,0)</x:f>
        <x:v>0</x:v>
      </x:c>
      <x:c r="M11" s="17" t="n">
        <x:f>IF(AND(M$5&gt;=$C11,M$5&lt;=$D11),1,0)</x:f>
        <x:v>0</x:v>
      </x:c>
      <x:c r="N11" s="17" t="n">
        <x:f>IF(AND(N$5&gt;=$C11,N$5&lt;=$D11),1,0)</x:f>
        <x:v>0</x:v>
      </x:c>
      <x:c r="O11" s="17" t="n">
        <x:f>IF(AND(O$5&gt;=$C11,O$5&lt;=$D11),1,0)</x:f>
        <x:v>0</x:v>
      </x:c>
      <x:c r="P11" s="17" t="n">
        <x:f>IF(AND(P$5&gt;=$C11,P$5&lt;=$D11),1,0)</x:f>
        <x:v>0</x:v>
      </x:c>
      <x:c r="Q11" s="17" t="n">
        <x:f>IF(AND(Q$5&gt;=$C11,Q$5&lt;=$D11),1,0)</x:f>
        <x:v>0</x:v>
      </x:c>
      <x:c r="R11" s="17" t="n">
        <x:f>IF(AND(R$5&gt;=$C11,R$5&lt;=$D11),1,0)</x:f>
        <x:v>0</x:v>
      </x:c>
      <x:c r="S11" s="17" t="n">
        <x:f>IF(AND(S$5&gt;=$C11,S$5&lt;=$D11),1,0)</x:f>
        <x:v>0</x:v>
      </x:c>
      <x:c r="T11" s="17" t="n">
        <x:f>IF(AND(T$5&gt;=$C11,T$5&lt;=$D11),1,0)</x:f>
        <x:v>0</x:v>
      </x:c>
      <x:c r="U11" s="17" t="n">
        <x:f>IF(AND(U$5&gt;=$C11,U$5&lt;=$D11),1,0)</x:f>
        <x:v>0</x:v>
      </x:c>
    </x:row>
    <x:row r="12">
      <x:c r="A12" s="11" t="str">
        <x:v>A-007</x:v>
      </x:c>
      <x:c r="B12" s="11" t="str">
        <x:v>Design evidence-supported internal-link modules</x:v>
      </x:c>
      <x:c r="C12" s="11" t="n">
        <x:v>6</x:v>
      </x:c>
      <x:c r="D12" s="11" t="n">
        <x:v>7</x:v>
      </x:c>
      <x:c r="E12" s="11" t="str">
        <x:v>SEO + UX</x:v>
      </x:c>
      <x:c r="F12" s="17" t="n">
        <x:f>IF(AND(F$5&gt;=$C12,F$5&lt;=$D12),1,0)</x:f>
        <x:v>0</x:v>
      </x:c>
      <x:c r="G12" s="17" t="n">
        <x:f>IF(AND(G$5&gt;=$C12,G$5&lt;=$D12),1,0)</x:f>
        <x:v>0</x:v>
      </x:c>
      <x:c r="H12" s="17" t="n">
        <x:f>IF(AND(H$5&gt;=$C12,H$5&lt;=$D12),1,0)</x:f>
        <x:v>0</x:v>
      </x:c>
      <x:c r="I12" s="17" t="n">
        <x:f>IF(AND(I$5&gt;=$C12,I$5&lt;=$D12),1,0)</x:f>
        <x:v>0</x:v>
      </x:c>
      <x:c r="J12" s="17" t="n">
        <x:f>IF(AND(J$5&gt;=$C12,J$5&lt;=$D12),1,0)</x:f>
        <x:v>0</x:v>
      </x:c>
      <x:c r="K12" s="17" t="n">
        <x:f>IF(AND(K$5&gt;=$C12,K$5&lt;=$D12),1,0)</x:f>
        <x:v>1</x:v>
      </x:c>
      <x:c r="L12" s="17" t="n">
        <x:f>IF(AND(L$5&gt;=$C12,L$5&lt;=$D12),1,0)</x:f>
        <x:v>1</x:v>
      </x:c>
      <x:c r="M12" s="17" t="n">
        <x:f>IF(AND(M$5&gt;=$C12,M$5&lt;=$D12),1,0)</x:f>
        <x:v>0</x:v>
      </x:c>
      <x:c r="N12" s="17" t="n">
        <x:f>IF(AND(N$5&gt;=$C12,N$5&lt;=$D12),1,0)</x:f>
        <x:v>0</x:v>
      </x:c>
      <x:c r="O12" s="17" t="n">
        <x:f>IF(AND(O$5&gt;=$C12,O$5&lt;=$D12),1,0)</x:f>
        <x:v>0</x:v>
      </x:c>
      <x:c r="P12" s="17" t="n">
        <x:f>IF(AND(P$5&gt;=$C12,P$5&lt;=$D12),1,0)</x:f>
        <x:v>0</x:v>
      </x:c>
      <x:c r="Q12" s="17" t="n">
        <x:f>IF(AND(Q$5&gt;=$C12,Q$5&lt;=$D12),1,0)</x:f>
        <x:v>0</x:v>
      </x:c>
      <x:c r="R12" s="17" t="n">
        <x:f>IF(AND(R$5&gt;=$C12,R$5&lt;=$D12),1,0)</x:f>
        <x:v>0</x:v>
      </x:c>
      <x:c r="S12" s="17" t="n">
        <x:f>IF(AND(S$5&gt;=$C12,S$5&lt;=$D12),1,0)</x:f>
        <x:v>0</x:v>
      </x:c>
      <x:c r="T12" s="17" t="n">
        <x:f>IF(AND(T$5&gt;=$C12,T$5&lt;=$D12),1,0)</x:f>
        <x:v>0</x:v>
      </x:c>
      <x:c r="U12" s="17" t="n">
        <x:f>IF(AND(U$5&gt;=$C12,U$5&lt;=$D12),1,0)</x:f>
        <x:v>0</x:v>
      </x:c>
    </x:row>
    <x:row r="13">
      <x:c r="A13" s="11" t="str">
        <x:v>A-008</x:v>
      </x:c>
      <x:c r="B13" s="11" t="str">
        <x:v>Stage metadata and heading changes on a representative template set</x:v>
      </x:c>
      <x:c r="C13" s="11" t="n">
        <x:v>7</x:v>
      </x:c>
      <x:c r="D13" s="11" t="n">
        <x:v>8</x:v>
      </x:c>
      <x:c r="E13" s="11" t="str">
        <x:v>Engineering</x:v>
      </x:c>
      <x:c r="F13" s="17" t="n">
        <x:f>IF(AND(F$5&gt;=$C13,F$5&lt;=$D13),1,0)</x:f>
        <x:v>0</x:v>
      </x:c>
      <x:c r="G13" s="17" t="n">
        <x:f>IF(AND(G$5&gt;=$C13,G$5&lt;=$D13),1,0)</x:f>
        <x:v>0</x:v>
      </x:c>
      <x:c r="H13" s="17" t="n">
        <x:f>IF(AND(H$5&gt;=$C13,H$5&lt;=$D13),1,0)</x:f>
        <x:v>0</x:v>
      </x:c>
      <x:c r="I13" s="17" t="n">
        <x:f>IF(AND(I$5&gt;=$C13,I$5&lt;=$D13),1,0)</x:f>
        <x:v>0</x:v>
      </x:c>
      <x:c r="J13" s="17" t="n">
        <x:f>IF(AND(J$5&gt;=$C13,J$5&lt;=$D13),1,0)</x:f>
        <x:v>0</x:v>
      </x:c>
      <x:c r="K13" s="17" t="n">
        <x:f>IF(AND(K$5&gt;=$C13,K$5&lt;=$D13),1,0)</x:f>
        <x:v>0</x:v>
      </x:c>
      <x:c r="L13" s="17" t="n">
        <x:f>IF(AND(L$5&gt;=$C13,L$5&lt;=$D13),1,0)</x:f>
        <x:v>1</x:v>
      </x:c>
      <x:c r="M13" s="17" t="n">
        <x:f>IF(AND(M$5&gt;=$C13,M$5&lt;=$D13),1,0)</x:f>
        <x:v>1</x:v>
      </x:c>
      <x:c r="N13" s="17" t="n">
        <x:f>IF(AND(N$5&gt;=$C13,N$5&lt;=$D13),1,0)</x:f>
        <x:v>0</x:v>
      </x:c>
      <x:c r="O13" s="17" t="n">
        <x:f>IF(AND(O$5&gt;=$C13,O$5&lt;=$D13),1,0)</x:f>
        <x:v>0</x:v>
      </x:c>
      <x:c r="P13" s="17" t="n">
        <x:f>IF(AND(P$5&gt;=$C13,P$5&lt;=$D13),1,0)</x:f>
        <x:v>0</x:v>
      </x:c>
      <x:c r="Q13" s="17" t="n">
        <x:f>IF(AND(Q$5&gt;=$C13,Q$5&lt;=$D13),1,0)</x:f>
        <x:v>0</x:v>
      </x:c>
      <x:c r="R13" s="17" t="n">
        <x:f>IF(AND(R$5&gt;=$C13,R$5&lt;=$D13),1,0)</x:f>
        <x:v>0</x:v>
      </x:c>
      <x:c r="S13" s="17" t="n">
        <x:f>IF(AND(S$5&gt;=$C13,S$5&lt;=$D13),1,0)</x:f>
        <x:v>0</x:v>
      </x:c>
      <x:c r="T13" s="17" t="n">
        <x:f>IF(AND(T$5&gt;=$C13,T$5&lt;=$D13),1,0)</x:f>
        <x:v>0</x:v>
      </x:c>
      <x:c r="U13" s="17" t="n">
        <x:f>IF(AND(U$5&gt;=$C13,U$5&lt;=$D13),1,0)</x:f>
        <x:v>0</x:v>
      </x:c>
    </x:row>
    <x:row r="14">
      <x:c r="A14" s="11" t="str">
        <x:v>A-009</x:v>
      </x:c>
      <x:c r="B14" s="11" t="str">
        <x:v>Review page-specific schema candidates against verified facts</x:v>
      </x:c>
      <x:c r="C14" s="11" t="n">
        <x:v>8</x:v>
      </x:c>
      <x:c r="D14" s="11" t="n">
        <x:v>9</x:v>
      </x:c>
      <x:c r="E14" s="11" t="str">
        <x:v>Technical SEO</x:v>
      </x:c>
      <x:c r="F14" s="17" t="n">
        <x:f>IF(AND(F$5&gt;=$C14,F$5&lt;=$D14),1,0)</x:f>
        <x:v>0</x:v>
      </x:c>
      <x:c r="G14" s="17" t="n">
        <x:f>IF(AND(G$5&gt;=$C14,G$5&lt;=$D14),1,0)</x:f>
        <x:v>0</x:v>
      </x:c>
      <x:c r="H14" s="17" t="n">
        <x:f>IF(AND(H$5&gt;=$C14,H$5&lt;=$D14),1,0)</x:f>
        <x:v>0</x:v>
      </x:c>
      <x:c r="I14" s="17" t="n">
        <x:f>IF(AND(I$5&gt;=$C14,I$5&lt;=$D14),1,0)</x:f>
        <x:v>0</x:v>
      </x:c>
      <x:c r="J14" s="17" t="n">
        <x:f>IF(AND(J$5&gt;=$C14,J$5&lt;=$D14),1,0)</x:f>
        <x:v>0</x:v>
      </x:c>
      <x:c r="K14" s="17" t="n">
        <x:f>IF(AND(K$5&gt;=$C14,K$5&lt;=$D14),1,0)</x:f>
        <x:v>0</x:v>
      </x:c>
      <x:c r="L14" s="17" t="n">
        <x:f>IF(AND(L$5&gt;=$C14,L$5&lt;=$D14),1,0)</x:f>
        <x:v>0</x:v>
      </x:c>
      <x:c r="M14" s="17" t="n">
        <x:f>IF(AND(M$5&gt;=$C14,M$5&lt;=$D14),1,0)</x:f>
        <x:v>1</x:v>
      </x:c>
      <x:c r="N14" s="17" t="n">
        <x:f>IF(AND(N$5&gt;=$C14,N$5&lt;=$D14),1,0)</x:f>
        <x:v>1</x:v>
      </x:c>
      <x:c r="O14" s="17" t="n">
        <x:f>IF(AND(O$5&gt;=$C14,O$5&lt;=$D14),1,0)</x:f>
        <x:v>0</x:v>
      </x:c>
      <x:c r="P14" s="17" t="n">
        <x:f>IF(AND(P$5&gt;=$C14,P$5&lt;=$D14),1,0)</x:f>
        <x:v>0</x:v>
      </x:c>
      <x:c r="Q14" s="17" t="n">
        <x:f>IF(AND(Q$5&gt;=$C14,Q$5&lt;=$D14),1,0)</x:f>
        <x:v>0</x:v>
      </x:c>
      <x:c r="R14" s="17" t="n">
        <x:f>IF(AND(R$5&gt;=$C14,R$5&lt;=$D14),1,0)</x:f>
        <x:v>0</x:v>
      </x:c>
      <x:c r="S14" s="17" t="n">
        <x:f>IF(AND(S$5&gt;=$C14,S$5&lt;=$D14),1,0)</x:f>
        <x:v>0</x:v>
      </x:c>
      <x:c r="T14" s="17" t="n">
        <x:f>IF(AND(T$5&gt;=$C14,T$5&lt;=$D14),1,0)</x:f>
        <x:v>0</x:v>
      </x:c>
      <x:c r="U14" s="17" t="n">
        <x:f>IF(AND(U$5&gt;=$C14,U$5&lt;=$D14),1,0)</x:f>
        <x:v>0</x:v>
      </x:c>
    </x:row>
    <x:row r="15">
      <x:c r="A15" s="11" t="str">
        <x:v>A-010</x:v>
      </x:c>
      <x:c r="B15" s="11" t="str">
        <x:v>Editorially review the first three evidence-bound content refreshes</x:v>
      </x:c>
      <x:c r="C15" s="11" t="n">
        <x:v>9</x:v>
      </x:c>
      <x:c r="D15" s="11" t="n">
        <x:v>10</x:v>
      </x:c>
      <x:c r="E15" s="11" t="str">
        <x:v>Content Lead</x:v>
      </x:c>
      <x:c r="F15" s="17" t="n">
        <x:f>IF(AND(F$5&gt;=$C15,F$5&lt;=$D15),1,0)</x:f>
        <x:v>0</x:v>
      </x:c>
      <x:c r="G15" s="17" t="n">
        <x:f>IF(AND(G$5&gt;=$C15,G$5&lt;=$D15),1,0)</x:f>
        <x:v>0</x:v>
      </x:c>
      <x:c r="H15" s="17" t="n">
        <x:f>IF(AND(H$5&gt;=$C15,H$5&lt;=$D15),1,0)</x:f>
        <x:v>0</x:v>
      </x:c>
      <x:c r="I15" s="17" t="n">
        <x:f>IF(AND(I$5&gt;=$C15,I$5&lt;=$D15),1,0)</x:f>
        <x:v>0</x:v>
      </x:c>
      <x:c r="J15" s="17" t="n">
        <x:f>IF(AND(J$5&gt;=$C15,J$5&lt;=$D15),1,0)</x:f>
        <x:v>0</x:v>
      </x:c>
      <x:c r="K15" s="17" t="n">
        <x:f>IF(AND(K$5&gt;=$C15,K$5&lt;=$D15),1,0)</x:f>
        <x:v>0</x:v>
      </x:c>
      <x:c r="L15" s="17" t="n">
        <x:f>IF(AND(L$5&gt;=$C15,L$5&lt;=$D15),1,0)</x:f>
        <x:v>0</x:v>
      </x:c>
      <x:c r="M15" s="17" t="n">
        <x:f>IF(AND(M$5&gt;=$C15,M$5&lt;=$D15),1,0)</x:f>
        <x:v>0</x:v>
      </x:c>
      <x:c r="N15" s="17" t="n">
        <x:f>IF(AND(N$5&gt;=$C15,N$5&lt;=$D15),1,0)</x:f>
        <x:v>1</x:v>
      </x:c>
      <x:c r="O15" s="17" t="n">
        <x:f>IF(AND(O$5&gt;=$C15,O$5&lt;=$D15),1,0)</x:f>
        <x:v>1</x:v>
      </x:c>
      <x:c r="P15" s="17" t="n">
        <x:f>IF(AND(P$5&gt;=$C15,P$5&lt;=$D15),1,0)</x:f>
        <x:v>0</x:v>
      </x:c>
      <x:c r="Q15" s="17" t="n">
        <x:f>IF(AND(Q$5&gt;=$C15,Q$5&lt;=$D15),1,0)</x:f>
        <x:v>0</x:v>
      </x:c>
      <x:c r="R15" s="17" t="n">
        <x:f>IF(AND(R$5&gt;=$C15,R$5&lt;=$D15),1,0)</x:f>
        <x:v>0</x:v>
      </x:c>
      <x:c r="S15" s="17" t="n">
        <x:f>IF(AND(S$5&gt;=$C15,S$5&lt;=$D15),1,0)</x:f>
        <x:v>0</x:v>
      </x:c>
      <x:c r="T15" s="17" t="n">
        <x:f>IF(AND(T$5&gt;=$C15,T$5&lt;=$D15),1,0)</x:f>
        <x:v>0</x:v>
      </x:c>
      <x:c r="U15" s="17" t="n">
        <x:f>IF(AND(U$5&gt;=$C15,U$5&lt;=$D15),1,0)</x:f>
        <x:v>0</x:v>
      </x:c>
    </x:row>
    <x:row r="16">
      <x:c r="A16" s="11" t="str">
        <x:v>A-011</x:v>
      </x:c>
      <x:c r="B16" s="11" t="str">
        <x:v>Editorially review the remaining distinct content refreshes</x:v>
      </x:c>
      <x:c r="C16" s="11" t="n">
        <x:v>10</x:v>
      </x:c>
      <x:c r="D16" s="11" t="n">
        <x:v>11</x:v>
      </x:c>
      <x:c r="E16" s="11" t="str">
        <x:v>Content Lead</x:v>
      </x:c>
      <x:c r="F16" s="17" t="n">
        <x:f>IF(AND(F$5&gt;=$C16,F$5&lt;=$D16),1,0)</x:f>
        <x:v>0</x:v>
      </x:c>
      <x:c r="G16" s="17" t="n">
        <x:f>IF(AND(G$5&gt;=$C16,G$5&lt;=$D16),1,0)</x:f>
        <x:v>0</x:v>
      </x:c>
      <x:c r="H16" s="17" t="n">
        <x:f>IF(AND(H$5&gt;=$C16,H$5&lt;=$D16),1,0)</x:f>
        <x:v>0</x:v>
      </x:c>
      <x:c r="I16" s="17" t="n">
        <x:f>IF(AND(I$5&gt;=$C16,I$5&lt;=$D16),1,0)</x:f>
        <x:v>0</x:v>
      </x:c>
      <x:c r="J16" s="17" t="n">
        <x:f>IF(AND(J$5&gt;=$C16,J$5&lt;=$D16),1,0)</x:f>
        <x:v>0</x:v>
      </x:c>
      <x:c r="K16" s="17" t="n">
        <x:f>IF(AND(K$5&gt;=$C16,K$5&lt;=$D16),1,0)</x:f>
        <x:v>0</x:v>
      </x:c>
      <x:c r="L16" s="17" t="n">
        <x:f>IF(AND(L$5&gt;=$C16,L$5&lt;=$D16),1,0)</x:f>
        <x:v>0</x:v>
      </x:c>
      <x:c r="M16" s="17" t="n">
        <x:f>IF(AND(M$5&gt;=$C16,M$5&lt;=$D16),1,0)</x:f>
        <x:v>0</x:v>
      </x:c>
      <x:c r="N16" s="17" t="n">
        <x:f>IF(AND(N$5&gt;=$C16,N$5&lt;=$D16),1,0)</x:f>
        <x:v>0</x:v>
      </x:c>
      <x:c r="O16" s="17" t="n">
        <x:f>IF(AND(O$5&gt;=$C16,O$5&lt;=$D16),1,0)</x:f>
        <x:v>1</x:v>
      </x:c>
      <x:c r="P16" s="17" t="n">
        <x:f>IF(AND(P$5&gt;=$C16,P$5&lt;=$D16),1,0)</x:f>
        <x:v>1</x:v>
      </x:c>
      <x:c r="Q16" s="17" t="n">
        <x:f>IF(AND(Q$5&gt;=$C16,Q$5&lt;=$D16),1,0)</x:f>
        <x:v>0</x:v>
      </x:c>
      <x:c r="R16" s="17" t="n">
        <x:f>IF(AND(R$5&gt;=$C16,R$5&lt;=$D16),1,0)</x:f>
        <x:v>0</x:v>
      </x:c>
      <x:c r="S16" s="17" t="n">
        <x:f>IF(AND(S$5&gt;=$C16,S$5&lt;=$D16),1,0)</x:f>
        <x:v>0</x:v>
      </x:c>
      <x:c r="T16" s="17" t="n">
        <x:f>IF(AND(T$5&gt;=$C16,T$5&lt;=$D16),1,0)</x:f>
        <x:v>0</x:v>
      </x:c>
      <x:c r="U16" s="17" t="n">
        <x:f>IF(AND(U$5&gt;=$C16,U$5&lt;=$D16),1,0)</x:f>
        <x:v>0</x:v>
      </x:c>
    </x:row>
    <x:row r="17">
      <x:c r="A17" s="11" t="str">
        <x:v>A-012</x:v>
      </x:c>
      <x:c r="B17" s="11" t="str">
        <x:v>Import and reconcile GBP/BrightLocal evidence before local changes</x:v>
      </x:c>
      <x:c r="C17" s="11" t="n">
        <x:v>11</x:v>
      </x:c>
      <x:c r="D17" s="11" t="n">
        <x:v>12</x:v>
      </x:c>
      <x:c r="E17" s="11" t="str">
        <x:v>Local SEO</x:v>
      </x:c>
      <x:c r="F17" s="17" t="n">
        <x:f>IF(AND(F$5&gt;=$C17,F$5&lt;=$D17),1,0)</x:f>
        <x:v>0</x:v>
      </x:c>
      <x:c r="G17" s="17" t="n">
        <x:f>IF(AND(G$5&gt;=$C17,G$5&lt;=$D17),1,0)</x:f>
        <x:v>0</x:v>
      </x:c>
      <x:c r="H17" s="17" t="n">
        <x:f>IF(AND(H$5&gt;=$C17,H$5&lt;=$D17),1,0)</x:f>
        <x:v>0</x:v>
      </x:c>
      <x:c r="I17" s="17" t="n">
        <x:f>IF(AND(I$5&gt;=$C17,I$5&lt;=$D17),1,0)</x:f>
        <x:v>0</x:v>
      </x:c>
      <x:c r="J17" s="17" t="n">
        <x:f>IF(AND(J$5&gt;=$C17,J$5&lt;=$D17),1,0)</x:f>
        <x:v>0</x:v>
      </x:c>
      <x:c r="K17" s="17" t="n">
        <x:f>IF(AND(K$5&gt;=$C17,K$5&lt;=$D17),1,0)</x:f>
        <x:v>0</x:v>
      </x:c>
      <x:c r="L17" s="17" t="n">
        <x:f>IF(AND(L$5&gt;=$C17,L$5&lt;=$D17),1,0)</x:f>
        <x:v>0</x:v>
      </x:c>
      <x:c r="M17" s="17" t="n">
        <x:f>IF(AND(M$5&gt;=$C17,M$5&lt;=$D17),1,0)</x:f>
        <x:v>0</x:v>
      </x:c>
      <x:c r="N17" s="17" t="n">
        <x:f>IF(AND(N$5&gt;=$C17,N$5&lt;=$D17),1,0)</x:f>
        <x:v>0</x:v>
      </x:c>
      <x:c r="O17" s="17" t="n">
        <x:f>IF(AND(O$5&gt;=$C17,O$5&lt;=$D17),1,0)</x:f>
        <x:v>0</x:v>
      </x:c>
      <x:c r="P17" s="17" t="n">
        <x:f>IF(AND(P$5&gt;=$C17,P$5&lt;=$D17),1,0)</x:f>
        <x:v>1</x:v>
      </x:c>
      <x:c r="Q17" s="17" t="n">
        <x:f>IF(AND(Q$5&gt;=$C17,Q$5&lt;=$D17),1,0)</x:f>
        <x:v>1</x:v>
      </x:c>
      <x:c r="R17" s="17" t="n">
        <x:f>IF(AND(R$5&gt;=$C17,R$5&lt;=$D17),1,0)</x:f>
        <x:v>0</x:v>
      </x:c>
      <x:c r="S17" s="17" t="n">
        <x:f>IF(AND(S$5&gt;=$C17,S$5&lt;=$D17),1,0)</x:f>
        <x:v>0</x:v>
      </x:c>
      <x:c r="T17" s="17" t="n">
        <x:f>IF(AND(T$5&gt;=$C17,T$5&lt;=$D17),1,0)</x:f>
        <x:v>0</x:v>
      </x:c>
      <x:c r="U17" s="17" t="n">
        <x:f>IF(AND(U$5&gt;=$C17,U$5&lt;=$D17),1,0)</x:f>
        <x:v>0</x:v>
      </x:c>
    </x:row>
    <x:row r="18">
      <x:c r="A18" s="11" t="str">
        <x:v>A-013</x:v>
      </x:c>
      <x:c r="B18" s="11" t="str">
        <x:v>Run accessibility and conversion-path review with analytics baselines</x:v>
      </x:c>
      <x:c r="C18" s="11" t="n">
        <x:v>11</x:v>
      </x:c>
      <x:c r="D18" s="11" t="n">
        <x:v>13</x:v>
      </x:c>
      <x:c r="E18" s="11" t="str">
        <x:v>UX + Analytics</x:v>
      </x:c>
      <x:c r="F18" s="17" t="n">
        <x:f>IF(AND(F$5&gt;=$C18,F$5&lt;=$D18),1,0)</x:f>
        <x:v>0</x:v>
      </x:c>
      <x:c r="G18" s="17" t="n">
        <x:f>IF(AND(G$5&gt;=$C18,G$5&lt;=$D18),1,0)</x:f>
        <x:v>0</x:v>
      </x:c>
      <x:c r="H18" s="17" t="n">
        <x:f>IF(AND(H$5&gt;=$C18,H$5&lt;=$D18),1,0)</x:f>
        <x:v>0</x:v>
      </x:c>
      <x:c r="I18" s="17" t="n">
        <x:f>IF(AND(I$5&gt;=$C18,I$5&lt;=$D18),1,0)</x:f>
        <x:v>0</x:v>
      </x:c>
      <x:c r="J18" s="17" t="n">
        <x:f>IF(AND(J$5&gt;=$C18,J$5&lt;=$D18),1,0)</x:f>
        <x:v>0</x:v>
      </x:c>
      <x:c r="K18" s="17" t="n">
        <x:f>IF(AND(K$5&gt;=$C18,K$5&lt;=$D18),1,0)</x:f>
        <x:v>0</x:v>
      </x:c>
      <x:c r="L18" s="17" t="n">
        <x:f>IF(AND(L$5&gt;=$C18,L$5&lt;=$D18),1,0)</x:f>
        <x:v>0</x:v>
      </x:c>
      <x:c r="M18" s="17" t="n">
        <x:f>IF(AND(M$5&gt;=$C18,M$5&lt;=$D18),1,0)</x:f>
        <x:v>0</x:v>
      </x:c>
      <x:c r="N18" s="17" t="n">
        <x:f>IF(AND(N$5&gt;=$C18,N$5&lt;=$D18),1,0)</x:f>
        <x:v>0</x:v>
      </x:c>
      <x:c r="O18" s="17" t="n">
        <x:f>IF(AND(O$5&gt;=$C18,O$5&lt;=$D18),1,0)</x:f>
        <x:v>0</x:v>
      </x:c>
      <x:c r="P18" s="17" t="n">
        <x:f>IF(AND(P$5&gt;=$C18,P$5&lt;=$D18),1,0)</x:f>
        <x:v>1</x:v>
      </x:c>
      <x:c r="Q18" s="17" t="n">
        <x:f>IF(AND(Q$5&gt;=$C18,Q$5&lt;=$D18),1,0)</x:f>
        <x:v>1</x:v>
      </x:c>
      <x:c r="R18" s="17" t="n">
        <x:f>IF(AND(R$5&gt;=$C18,R$5&lt;=$D18),1,0)</x:f>
        <x:v>1</x:v>
      </x:c>
      <x:c r="S18" s="17" t="n">
        <x:f>IF(AND(S$5&gt;=$C18,S$5&lt;=$D18),1,0)</x:f>
        <x:v>0</x:v>
      </x:c>
      <x:c r="T18" s="17" t="n">
        <x:f>IF(AND(T$5&gt;=$C18,T$5&lt;=$D18),1,0)</x:f>
        <x:v>0</x:v>
      </x:c>
      <x:c r="U18" s="17" t="n">
        <x:f>IF(AND(U$5&gt;=$C18,U$5&lt;=$D18),1,0)</x:f>
        <x:v>0</x:v>
      </x:c>
    </x:row>
    <x:row r="19">
      <x:c r="A19" s="11" t="str">
        <x:v>A-014</x:v>
      </x:c>
      <x:c r="B19" s="11" t="str">
        <x:v>Execute staging crawl, link, canonical, schema and render QA</x:v>
      </x:c>
      <x:c r="C19" s="11" t="n">
        <x:v>13</x:v>
      </x:c>
      <x:c r="D19" s="11" t="n">
        <x:v>14</x:v>
      </x:c>
      <x:c r="E19" s="11" t="str">
        <x:v>QA</x:v>
      </x:c>
      <x:c r="F19" s="17" t="n">
        <x:f>IF(AND(F$5&gt;=$C19,F$5&lt;=$D19),1,0)</x:f>
        <x:v>0</x:v>
      </x:c>
      <x:c r="G19" s="17" t="n">
        <x:f>IF(AND(G$5&gt;=$C19,G$5&lt;=$D19),1,0)</x:f>
        <x:v>0</x:v>
      </x:c>
      <x:c r="H19" s="17" t="n">
        <x:f>IF(AND(H$5&gt;=$C19,H$5&lt;=$D19),1,0)</x:f>
        <x:v>0</x:v>
      </x:c>
      <x:c r="I19" s="17" t="n">
        <x:f>IF(AND(I$5&gt;=$C19,I$5&lt;=$D19),1,0)</x:f>
        <x:v>0</x:v>
      </x:c>
      <x:c r="J19" s="17" t="n">
        <x:f>IF(AND(J$5&gt;=$C19,J$5&lt;=$D19),1,0)</x:f>
        <x:v>0</x:v>
      </x:c>
      <x:c r="K19" s="17" t="n">
        <x:f>IF(AND(K$5&gt;=$C19,K$5&lt;=$D19),1,0)</x:f>
        <x:v>0</x:v>
      </x:c>
      <x:c r="L19" s="17" t="n">
        <x:f>IF(AND(L$5&gt;=$C19,L$5&lt;=$D19),1,0)</x:f>
        <x:v>0</x:v>
      </x:c>
      <x:c r="M19" s="17" t="n">
        <x:f>IF(AND(M$5&gt;=$C19,M$5&lt;=$D19),1,0)</x:f>
        <x:v>0</x:v>
      </x:c>
      <x:c r="N19" s="17" t="n">
        <x:f>IF(AND(N$5&gt;=$C19,N$5&lt;=$D19),1,0)</x:f>
        <x:v>0</x:v>
      </x:c>
      <x:c r="O19" s="17" t="n">
        <x:f>IF(AND(O$5&gt;=$C19,O$5&lt;=$D19),1,0)</x:f>
        <x:v>0</x:v>
      </x:c>
      <x:c r="P19" s="17" t="n">
        <x:f>IF(AND(P$5&gt;=$C19,P$5&lt;=$D19),1,0)</x:f>
        <x:v>0</x:v>
      </x:c>
      <x:c r="Q19" s="17" t="n">
        <x:f>IF(AND(Q$5&gt;=$C19,Q$5&lt;=$D19),1,0)</x:f>
        <x:v>0</x:v>
      </x:c>
      <x:c r="R19" s="17" t="n">
        <x:f>IF(AND(R$5&gt;=$C19,R$5&lt;=$D19),1,0)</x:f>
        <x:v>1</x:v>
      </x:c>
      <x:c r="S19" s="17" t="n">
        <x:f>IF(AND(S$5&gt;=$C19,S$5&lt;=$D19),1,0)</x:f>
        <x:v>1</x:v>
      </x:c>
      <x:c r="T19" s="17" t="n">
        <x:f>IF(AND(T$5&gt;=$C19,T$5&lt;=$D19),1,0)</x:f>
        <x:v>0</x:v>
      </x:c>
      <x:c r="U19" s="17" t="n">
        <x:f>IF(AND(U$5&gt;=$C19,U$5&lt;=$D19),1,0)</x:f>
        <x:v>0</x:v>
      </x:c>
    </x:row>
    <x:row r="20">
      <x:c r="A20" s="11" t="str">
        <x:v>A-015</x:v>
      </x:c>
      <x:c r="B20" s="11" t="str">
        <x:v>Reconcile UI, workbooks, reports, deck and manifest</x:v>
      </x:c>
      <x:c r="C20" s="11" t="n">
        <x:v>14</x:v>
      </x:c>
      <x:c r="D20" s="11" t="n">
        <x:v>15</x:v>
      </x:c>
      <x:c r="E20" s="11" t="str">
        <x:v>QA</x:v>
      </x:c>
      <x:c r="F20" s="17" t="n">
        <x:f>IF(AND(F$5&gt;=$C20,F$5&lt;=$D20),1,0)</x:f>
        <x:v>0</x:v>
      </x:c>
      <x:c r="G20" s="17" t="n">
        <x:f>IF(AND(G$5&gt;=$C20,G$5&lt;=$D20),1,0)</x:f>
        <x:v>0</x:v>
      </x:c>
      <x:c r="H20" s="17" t="n">
        <x:f>IF(AND(H$5&gt;=$C20,H$5&lt;=$D20),1,0)</x:f>
        <x:v>0</x:v>
      </x:c>
      <x:c r="I20" s="17" t="n">
        <x:f>IF(AND(I$5&gt;=$C20,I$5&lt;=$D20),1,0)</x:f>
        <x:v>0</x:v>
      </x:c>
      <x:c r="J20" s="17" t="n">
        <x:f>IF(AND(J$5&gt;=$C20,J$5&lt;=$D20),1,0)</x:f>
        <x:v>0</x:v>
      </x:c>
      <x:c r="K20" s="17" t="n">
        <x:f>IF(AND(K$5&gt;=$C20,K$5&lt;=$D20),1,0)</x:f>
        <x:v>0</x:v>
      </x:c>
      <x:c r="L20" s="17" t="n">
        <x:f>IF(AND(L$5&gt;=$C20,L$5&lt;=$D20),1,0)</x:f>
        <x:v>0</x:v>
      </x:c>
      <x:c r="M20" s="17" t="n">
        <x:f>IF(AND(M$5&gt;=$C20,M$5&lt;=$D20),1,0)</x:f>
        <x:v>0</x:v>
      </x:c>
      <x:c r="N20" s="17" t="n">
        <x:f>IF(AND(N$5&gt;=$C20,N$5&lt;=$D20),1,0)</x:f>
        <x:v>0</x:v>
      </x:c>
      <x:c r="O20" s="17" t="n">
        <x:f>IF(AND(O$5&gt;=$C20,O$5&lt;=$D20),1,0)</x:f>
        <x:v>0</x:v>
      </x:c>
      <x:c r="P20" s="17" t="n">
        <x:f>IF(AND(P$5&gt;=$C20,P$5&lt;=$D20),1,0)</x:f>
        <x:v>0</x:v>
      </x:c>
      <x:c r="Q20" s="17" t="n">
        <x:f>IF(AND(Q$5&gt;=$C20,Q$5&lt;=$D20),1,0)</x:f>
        <x:v>0</x:v>
      </x:c>
      <x:c r="R20" s="17" t="n">
        <x:f>IF(AND(R$5&gt;=$C20,R$5&lt;=$D20),1,0)</x:f>
        <x:v>0</x:v>
      </x:c>
      <x:c r="S20" s="17" t="n">
        <x:f>IF(AND(S$5&gt;=$C20,S$5&lt;=$D20),1,0)</x:f>
        <x:v>1</x:v>
      </x:c>
      <x:c r="T20" s="17" t="n">
        <x:f>IF(AND(T$5&gt;=$C20,T$5&lt;=$D20),1,0)</x:f>
        <x:v>1</x:v>
      </x:c>
      <x:c r="U20" s="17" t="n">
        <x:f>IF(AND(U$5&gt;=$C20,U$5&lt;=$D20),1,0)</x:f>
        <x:v>0</x:v>
      </x:c>
    </x:row>
    <x:row r="21">
      <x:c r="A21" s="11" t="str">
        <x:v>A-016</x:v>
      </x:c>
      <x:c r="B21" s="11" t="str">
        <x:v>Complete Gate 2, final QA and controlled production decision</x:v>
      </x:c>
      <x:c r="C21" s="11" t="n">
        <x:v>16</x:v>
      </x:c>
      <x:c r="D21" s="11" t="n">
        <x:v>16</x:v>
      </x:c>
      <x:c r="E21" s="11" t="str">
        <x:v>Agency admin + client</x:v>
      </x:c>
      <x:c r="F21" s="17" t="n">
        <x:f>IF(AND(F$5&gt;=$C21,F$5&lt;=$D21),1,0)</x:f>
        <x:v>0</x:v>
      </x:c>
      <x:c r="G21" s="17" t="n">
        <x:f>IF(AND(G$5&gt;=$C21,G$5&lt;=$D21),1,0)</x:f>
        <x:v>0</x:v>
      </x:c>
      <x:c r="H21" s="17" t="n">
        <x:f>IF(AND(H$5&gt;=$C21,H$5&lt;=$D21),1,0)</x:f>
        <x:v>0</x:v>
      </x:c>
      <x:c r="I21" s="17" t="n">
        <x:f>IF(AND(I$5&gt;=$C21,I$5&lt;=$D21),1,0)</x:f>
        <x:v>0</x:v>
      </x:c>
      <x:c r="J21" s="17" t="n">
        <x:f>IF(AND(J$5&gt;=$C21,J$5&lt;=$D21),1,0)</x:f>
        <x:v>0</x:v>
      </x:c>
      <x:c r="K21" s="17" t="n">
        <x:f>IF(AND(K$5&gt;=$C21,K$5&lt;=$D21),1,0)</x:f>
        <x:v>0</x:v>
      </x:c>
      <x:c r="L21" s="17" t="n">
        <x:f>IF(AND(L$5&gt;=$C21,L$5&lt;=$D21),1,0)</x:f>
        <x:v>0</x:v>
      </x:c>
      <x:c r="M21" s="17" t="n">
        <x:f>IF(AND(M$5&gt;=$C21,M$5&lt;=$D21),1,0)</x:f>
        <x:v>0</x:v>
      </x:c>
      <x:c r="N21" s="17" t="n">
        <x:f>IF(AND(N$5&gt;=$C21,N$5&lt;=$D21),1,0)</x:f>
        <x:v>0</x:v>
      </x:c>
      <x:c r="O21" s="17" t="n">
        <x:f>IF(AND(O$5&gt;=$C21,O$5&lt;=$D21),1,0)</x:f>
        <x:v>0</x:v>
      </x:c>
      <x:c r="P21" s="17" t="n">
        <x:f>IF(AND(P$5&gt;=$C21,P$5&lt;=$D21),1,0)</x:f>
        <x:v>0</x:v>
      </x:c>
      <x:c r="Q21" s="17" t="n">
        <x:f>IF(AND(Q$5&gt;=$C21,Q$5&lt;=$D21),1,0)</x:f>
        <x:v>0</x:v>
      </x:c>
      <x:c r="R21" s="17" t="n">
        <x:f>IF(AND(R$5&gt;=$C21,R$5&lt;=$D21),1,0)</x:f>
        <x:v>0</x:v>
      </x:c>
      <x:c r="S21" s="17" t="n">
        <x:f>IF(AND(S$5&gt;=$C21,S$5&lt;=$D21),1,0)</x:f>
        <x:v>0</x:v>
      </x:c>
      <x:c r="T21" s="17" t="n">
        <x:f>IF(AND(T$5&gt;=$C21,T$5&lt;=$D21),1,0)</x:f>
        <x:v>0</x:v>
      </x:c>
      <x:c r="U21" s="17" t="n">
        <x:f>IF(AND(U$5&gt;=$C21,U$5&lt;=$D21),1,0)</x:f>
        <x:v>1</x:v>
      </x:c>
    </x:row>
  </x:sheetData>
  <x:mergeCells>
    <x:mergeCell ref="A1:U1"/>
    <x:mergeCell ref="A2:U2"/>
  </x:mergeCells>
  <x:conditionalFormatting sqref="F6:U21">
    <x:cfRule type="cellIs" dxfId="2" priority="1" operator="equal">
      <x:formula>1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4" hidden="0" customWidth="1"/>
    <x:col min="4" max="4" width="22" hidden="0" customWidth="1"/>
    <x:col min="5" max="5" width="14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4" customHeight="1">
      <x:c r="A1" s="3" t="str">
        <x:v>Delivery dashboard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0" customHeight="1">
      <x:c r="A2" s="6" t="str">
        <x:v>Formula-backed counts update when canonical action statuses and priorities change.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9" t="str">
        <x:v>Priority</x:v>
      </x:c>
      <x:c r="B5" s="9" t="str">
        <x:v>Actions</x:v>
      </x:c>
      <x:c r="D5" s="19" t="str">
        <x:v>Status</x:v>
      </x:c>
      <x:c r="E5" s="19" t="str">
        <x:v>Actions</x:v>
      </x:c>
    </x:row>
    <x:row r="6">
      <x:c r="A6" t="str">
        <x:v>P1</x:v>
      </x:c>
      <x:c r="B6" t="n">
        <x:f>COUNTIF('Action Plan'!$E:$E,A6)</x:f>
        <x:v>8</x:v>
      </x:c>
      <x:c r="D6" t="str">
        <x:v>Not started</x:v>
      </x:c>
      <x:c r="E6" t="n">
        <x:f>COUNTIF('Action Plan'!$L:$L,D6)</x:f>
        <x:v>15</x:v>
      </x:c>
    </x:row>
    <x:row r="7">
      <x:c r="A7" t="str">
        <x:v>P2</x:v>
      </x:c>
      <x:c r="B7" t="n">
        <x:f>COUNTIF('Action Plan'!$E:$E,A7)</x:f>
        <x:v>6</x:v>
      </x:c>
      <x:c r="D7" t="str">
        <x:v>Ready</x:v>
      </x:c>
      <x:c r="E7" t="n">
        <x:f>COUNTIF('Action Plan'!$L:$L,D7)</x:f>
        <x:v>1</x:v>
      </x:c>
    </x:row>
    <x:row r="8">
      <x:c r="A8" t="str">
        <x:v>P3</x:v>
      </x:c>
      <x:c r="B8" t="n">
        <x:f>COUNTIF('Action Plan'!$E:$E,A8)</x:f>
        <x:v>2</x:v>
      </x:c>
      <x:c r="D8" t="str">
        <x:v>In progress</x:v>
      </x:c>
      <x:c r="E8" t="n">
        <x:f>COUNTIF('Action Plan'!$L:$L,D8)</x:f>
        <x:v>0</x:v>
      </x:c>
    </x:row>
    <x:row r="9">
      <x:c r="A9" t="str">
        <x:v>P4</x:v>
      </x:c>
      <x:c r="B9" t="n">
        <x:f>COUNTIF('Action Plan'!$E:$E,A9)</x:f>
        <x:v>0</x:v>
      </x:c>
      <x:c r="D9" t="str">
        <x:v>Blocked</x:v>
      </x:c>
      <x:c r="E9" t="n">
        <x:f>COUNTIF('Action Plan'!$L:$L,D9)</x:f>
        <x:v>0</x:v>
      </x:c>
    </x:row>
    <x:row r="10">
      <x:c r="D10" t="str">
        <x:v>Review</x:v>
      </x:c>
      <x:c r="E10" t="n">
        <x:f>COUNTIF('Action Plan'!$L:$L,D10)</x:f>
        <x:v>0</x:v>
      </x:c>
    </x:row>
    <x:row r="11">
      <x:c r="D11" t="str">
        <x:v>Complete</x:v>
      </x:c>
      <x:c r="E11" t="n">
        <x:f>COUNTIF('Action Plan'!$L:$L,D11)</x:f>
        <x:v>0</x:v>
      </x:c>
    </x:row>
  </x:sheetData>
  <x:mergeCells>
    <x:mergeCell ref="A1:J1"/>
    <x:mergeCell ref="A2:J2"/>
  </x:mergeCells>
  <x:pageMargins left="0.7" right="0.7" top="0.75" bottom="0.75" header="0.3" footer="0.3"/>
  <x:drawing xmlns:r="http://schemas.openxmlformats.org/officeDocument/2006/relationships" r:id="R6cb7f1091f2d44c1"/>
</x:worksheet>
</file>