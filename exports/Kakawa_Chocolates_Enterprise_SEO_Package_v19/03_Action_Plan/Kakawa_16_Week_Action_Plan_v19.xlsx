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4aee18f5b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a99a29d04c6457c"/>
    <x:sheet xmlns:r="http://schemas.openxmlformats.org/officeDocument/2006/relationships" name="Action Plan" sheetId="2" r:id="R3141ea56eaef4df9"/>
    <x:sheet xmlns:r="http://schemas.openxmlformats.org/officeDocument/2006/relationships" name="16-Week Gantt" sheetId="3" r:id="R891f089a40554ee4"/>
    <x:sheet xmlns:r="http://schemas.openxmlformats.org/officeDocument/2006/relationships" name="Dashboard" sheetId="4" r:id="R0bfe435b9500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;;;"/>
  </x:numFmts>
  <x:fonts count="4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3">
    <x:border/>
    <x:border>
      <x:bottom style="medium">
        <x:color rgb="FFA15C38"/>
      </x:bottom>
    </x:border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3F3B"/>
      </x:font>
      <x:fill>
        <x:patternFill patternType="solid">
          <x:bgColor rgb="FFF2D7D5"/>
        </x:patternFill>
      </x:fill>
    </x:dxf>
    <x:dxf>
      <x:font>
        <x:b/>
        <x:color rgb="FF2F6B57"/>
      </x:font>
      <x:fill>
        <x:patternFill patternType="solid">
          <x:bgColor rgb="FFDDEBE4"/>
        </x:patternFill>
      </x:fill>
    </x:dxf>
    <x:dxf>
      <x:fill>
        <x:patternFill patternType="solid">
          <x:bgColor rgb="FF3E4C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681a9a06d4105" /><Relationship Type="http://schemas.openxmlformats.org/officeDocument/2006/relationships/theme" Target="/xl/theme/theme1.xml" Id="Rf4be0f9fb05145de" /><Relationship Type="http://schemas.openxmlformats.org/officeDocument/2006/relationships/sharedStrings" Target="/xl/sharedStrings.xml" Id="Red598bf4c08a4d2c" /><Relationship Type="http://schemas.openxmlformats.org/officeDocument/2006/relationships/worksheet" Target="/xl/worksheets/sheet1.xml" Id="Rfa99a29d04c6457c" /><Relationship Type="http://schemas.openxmlformats.org/officeDocument/2006/relationships/worksheet" Target="/xl/worksheets/sheet2.xml" Id="R3141ea56eaef4df9" /><Relationship Type="http://schemas.openxmlformats.org/officeDocument/2006/relationships/worksheet" Target="/xl/worksheets/sheet3.xml" Id="R891f089a40554ee4" /><Relationship Type="http://schemas.openxmlformats.org/officeDocument/2006/relationships/worksheet" Target="/xl/worksheets/sheet4.xml" Id="R0bfe435b950043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eead1f9f774e05" /><Relationship Type="http://schemas.openxmlformats.org/officeDocument/2006/relationships/chart" Target="/xl/drawings/charts/chart2.xml" Id="Rf2062a48a0a441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Actions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Actions</c:v>
          </c:tx>
          <c:cat>
            <c:strRef>
              <c:f>'Dashboard'!$A$6:$A$9</c:f>
              <c:strCache>
                <c:ptCount val="0"/>
              </c:strCache>
            </c:strRef>
          </c:cat>
          <c:val>
            <c:numRef>
              <c:f>'Dashboard'!$B$6:$B$9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Actions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Actions</c:v>
          </c:tx>
          <c:cat>
            <c:strRef>
              <c:f>'Dashboard'!$D$6:$D$11</c:f>
              <c:strCache>
                <c:ptCount val="0"/>
              </c:strCache>
            </c:strRef>
          </c:cat>
          <c:val>
            <c:numRef>
              <c:f>'Dashboard'!$E$6:$E$11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eead1f9f774e05"/>
        </a:graphicData>
      </a:graphic>
    </xdr:graphicFrame>
    <xdr:clientData/>
  </xdr:twoCellAnchor>
  <xdr:twoCellAnchor>
    <xdr:from>
      <xdr:col>5</xdr:col>
      <xdr:colOff>0</xdr:colOff>
      <xdr:row>4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062a48a0a441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nicalActionPlanTable" displayName="CanonicalActionPlanTable" ref="A5:Q53" headerRowCount="1" totalsRowCount="0" totalsRowShown="0">
  <x:autoFilter ref="A5:Q53"/>
  <x:tableColumns count="17">
    <x:tableColumn id="1" name="ID"/>
    <x:tableColumn id="2" name="Phase"/>
    <x:tableColumn id="3" name="Week start"/>
    <x:tableColumn id="4" name="Week end"/>
    <x:tableColumn id="5" name="Priority"/>
    <x:tableColumn id="6" name="Action"/>
    <x:tableColumn id="7" name="Owner"/>
    <x:tableColumn id="8" name="Dependencies"/>
    <x:tableColumn id="9" name="Effort"/>
    <x:tableColumn id="10" name="KPI"/>
    <x:tableColumn id="11" name="Approval class"/>
    <x:tableColumn id="12" name="Status"/>
    <x:tableColumn id="13" name="Evidence"/>
    <x:tableColumn id="14" name="Confidence"/>
    <x:tableColumn id="15" name="Duration"/>
    <x:tableColumn id="16" name="Implementation risk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07e81caa7640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c10858841a9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4" customHeight="1">
      <x:c r="A1" s="3" t="str">
        <x:v>Kakawa 16-Week Canonical Action Plan · v19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Evidence as of 2026-07-15 · Action IDs are authoritative across every derivative.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10" t="str">
        <x:v>Control</x:v>
      </x:c>
      <x:c r="B5" s="10" t="str">
        <x:v>Meaning</x:v>
      </x:c>
    </x:row>
    <x:row r="6">
      <x:c r="A6" s="11" t="str">
        <x:v>Canonical source</x:v>
      </x:c>
      <x:c r="B6" s="11" t="str">
        <x:v>The Action Plan sheet; changes create a versioned record.</x:v>
      </x:c>
    </x:row>
    <x:row r="7">
      <x:c r="A7" s="11" t="str">
        <x:v>Approval classes</x:v>
      </x:c>
      <x:c r="B7" s="11" t="str">
        <x:v>Admin approval is required for redirects, canonicals, robots, schema and disavow candidates.</x:v>
      </x:c>
    </x:row>
    <x:row r="8">
      <x:c r="A8" s="11" t="str">
        <x:v>External execution</x:v>
      </x:c>
      <x:c r="B8" s="11" t="str">
        <x:v>Not performed by this application.</x:v>
      </x:c>
    </x:row>
    <x:row r="9">
      <x:c r="A9" s="11" t="str">
        <x:v>Private baselines</x:v>
      </x:c>
      <x:c r="B9" s="11" t="str">
        <x:v>Remain unavailable until GSC/GA4/SEMrush connections are approved.</x:v>
      </x:c>
    </x:row>
    <x:row r="10">
      <x:c r="A10" s="11" t="str">
        <x:v>Status values</x:v>
      </x:c>
      <x:c r="B10" s="11" t="str">
        <x:v>Not started, Ready, In progress, Blocked, Review, Approved, Complete</x:v>
      </x:c>
    </x:row>
    <x:row r="11">
      <x:c r="A11" s="11" t="str">
        <x:v>Priority</x:v>
      </x:c>
      <x:c r="B11" s="11" t="str">
        <x:v>P1–P4 reflects impact, confidence, reach, criticality, dependencies and effort.</x:v>
      </x:c>
    </x:row>
    <x:row r="12">
      <x:c r="A12" s="11" t="str">
        <x:v>Run</x:v>
      </x:c>
      <x:c r="B12" s="11" t="str">
        <x:v>KAKAWA-ENT-20260715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0" hidden="0" customWidth="1"/>
    <x:col min="6" max="6" width="58" hidden="0" customWidth="1"/>
    <x:col min="7" max="7" width="22" hidden="0" customWidth="1"/>
    <x:col min="8" max="8" width="28" hidden="0" customWidth="1"/>
    <x:col min="9" max="9" width="15" hidden="0" customWidth="1"/>
    <x:col min="10" max="10" width="34" hidden="0" customWidth="1"/>
    <x:col min="11" max="11" width="23" hidden="0" customWidth="1"/>
    <x:col min="12" max="12" width="18" hidden="0" customWidth="1"/>
    <x:col min="13" max="13" width="24" hidden="0" customWidth="1"/>
    <x:col min="14" max="14" width="13" hidden="0" customWidth="1"/>
    <x:col min="15" max="15" width="12" hidden="0" customWidth="1"/>
    <x:col min="16" max="16" width="22" hidden="0" customWidth="1"/>
    <x:col min="17" max="17" width="44" hidden="0" customWidth="1"/>
  </x:cols>
  <x:sheetData>
    <x:row r="1" ht="34" customHeight="1">
      <x:c r="A1" s="3" t="str">
        <x:v>Canonical action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6" t="str">
        <x:v>Owners, dependencies, effort, KPIs, evidence, risk and approval controls.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>
      <x:c r="A5" t="str">
        <x:v>ID</x:v>
      </x:c>
      <x:c r="B5" t="str">
        <x:v>Phase</x:v>
      </x:c>
      <x:c r="C5" t="str">
        <x:v>Week start</x:v>
      </x:c>
      <x:c r="D5" t="str">
        <x:v>Week end</x:v>
      </x:c>
      <x:c r="E5" t="str">
        <x:v>Priority</x:v>
      </x:c>
      <x:c r="F5" t="str">
        <x:v>Action</x:v>
      </x:c>
      <x:c r="G5" t="str">
        <x:v>Owner</x:v>
      </x:c>
      <x:c r="H5" t="str">
        <x:v>Dependencies</x:v>
      </x:c>
      <x:c r="I5" t="str">
        <x:v>Effort</x:v>
      </x:c>
      <x:c r="J5" t="str">
        <x:v>KPI</x:v>
      </x:c>
      <x:c r="K5" t="str">
        <x:v>Approval class</x:v>
      </x:c>
      <x:c r="L5" t="str">
        <x:v>Status</x:v>
      </x:c>
      <x:c r="M5" t="str">
        <x:v>Evidence</x:v>
      </x:c>
      <x:c r="N5" t="str">
        <x:v>Confidence</x:v>
      </x:c>
      <x:c r="O5" t="str">
        <x:v>Duration</x:v>
      </x:c>
      <x:c r="P5" t="str">
        <x:v>Implementation risk</x:v>
      </x:c>
      <x:c r="Q5" t="str">
        <x:v>Notes</x:v>
      </x:c>
    </x:row>
    <x:row r="6">
      <x:c r="A6" t="str">
        <x:v>A-001</x:v>
      </x:c>
      <x:c r="B6" t="str">
        <x:v>Foundation</x:v>
      </x:c>
      <x:c r="C6" t="n">
        <x:v>1</x:v>
      </x:c>
      <x:c r="D6" t="n">
        <x:v>1</x:v>
      </x:c>
      <x:c r="E6" t="str">
        <x:v>P1</x:v>
      </x:c>
      <x:c r="F6" t="str">
        <x:v>Approve the evidence boundary and unavailable-source register</x:v>
      </x:c>
      <x:c r="G6" t="str">
        <x:v>Agency admin</x:v>
      </x:c>
      <x:c r="H6" t="str">
        <x:v>None</x:v>
      </x:c>
      <x:c r="I6" t="str">
        <x:v>3h</x:v>
      </x:c>
      <x:c r="J6" t="str">
        <x:v>Gate 1 scope decision recorded</x:v>
      </x:c>
      <x:c r="K6" t="str">
        <x:v>agency_admin</x:v>
      </x:c>
      <x:c r="L6" t="str">
        <x:v>Ready</x:v>
      </x:c>
      <x:c r="M6" t="str">
        <x:v>EV-0001</x:v>
      </x:c>
      <x:c r="N6" s="12" t="n">
        <x:v>1</x:v>
      </x:c>
      <x:c r="O6" t="n">
        <x:f>D6-C6+1</x:f>
        <x:v>1</x:v>
      </x:c>
      <x:c r="P6" t="str">
        <x:v>low</x:v>
      </x:c>
      <x:c r="Q6" t="str">
        <x:v>Advisory only; no external system changes are executed by the studio.</x:v>
      </x:c>
    </x:row>
    <x:row r="7">
      <x:c r="A7" t="str">
        <x:v>A-002</x:v>
      </x:c>
      <x:c r="B7" t="str">
        <x:v>Foundation</x:v>
      </x:c>
      <x:c r="C7" t="n">
        <x:v>1</x:v>
      </x:c>
      <x:c r="D7" t="n">
        <x:v>1</x:v>
      </x:c>
      <x:c r="E7" t="str">
        <x:v>P1</x:v>
      </x:c>
      <x:c r="F7" t="str">
        <x:v>Confirm the approved .com.au domain and exclusion rules</x:v>
      </x:c>
      <x:c r="G7" t="str">
        <x:v>Technical SEO</x:v>
      </x:c>
      <x:c r="H7" t="str">
        <x:v>A-001</x:v>
      </x:c>
      <x:c r="I7" t="str">
        <x:v>3h</x:v>
      </x:c>
      <x:c r="J7" t="str">
        <x:v>Zero wrong-domain records</x:v>
      </x:c>
      <x:c r="K7" t="str">
        <x:v>agency_admin</x:v>
      </x:c>
      <x:c r="L7" t="str">
        <x:v>Ready</x:v>
      </x:c>
      <x:c r="M7" t="str">
        <x:v>EV-0001</x:v>
      </x:c>
      <x:c r="N7" s="12" t="n">
        <x:v>1</x:v>
      </x:c>
      <x:c r="O7" t="n">
        <x:f>D7-C7+1</x:f>
        <x:v>1</x:v>
      </x:c>
      <x:c r="P7" t="str">
        <x:v>moderate</x:v>
      </x:c>
      <x:c r="Q7" t="str">
        <x:v>Advisory only; no external system changes are executed by the studio.</x:v>
      </x:c>
    </x:row>
    <x:row r="8">
      <x:c r="A8" t="str">
        <x:v>A-003</x:v>
      </x:c>
      <x:c r="B8" t="str">
        <x:v>Foundation</x:v>
      </x:c>
      <x:c r="C8" t="n">
        <x:v>1</x:v>
      </x:c>
      <x:c r="D8" t="n">
        <x:v>1</x:v>
      </x:c>
      <x:c r="E8" t="str">
        <x:v>P2</x:v>
      </x:c>
      <x:c r="F8" t="str">
        <x:v>Reconcile discovered, fetched and normalized URL counts</x:v>
      </x:c>
      <x:c r="G8" t="str">
        <x:v>Analyst</x:v>
      </x:c>
      <x:c r="H8" t="str">
        <x:v>A-002</x:v>
      </x:c>
      <x:c r="I8" t="str">
        <x:v>4h</x:v>
      </x:c>
      <x:c r="J8" t="str">
        <x:v>One canonical inventory count</x:v>
      </x:c>
      <x:c r="K8" t="str">
        <x:v>analyst</x:v>
      </x:c>
      <x:c r="L8" t="str">
        <x:v>Ready</x:v>
      </x:c>
      <x:c r="M8" t="str">
        <x:v>EV-0001</x:v>
      </x:c>
      <x:c r="N8" s="12" t="n">
        <x:v>1</x:v>
      </x:c>
      <x:c r="O8" t="n">
        <x:f>D8-C8+1</x:f>
        <x:v>1</x:v>
      </x:c>
      <x:c r="P8" t="str">
        <x:v>low</x:v>
      </x:c>
      <x:c r="Q8" t="str">
        <x:v>Advisory only; no external system changes are executed by the studio.</x:v>
      </x:c>
    </x:row>
    <x:row r="9">
      <x:c r="A9" t="str">
        <x:v>A-004</x:v>
      </x:c>
      <x:c r="B9" t="str">
        <x:v>Evidence</x:v>
      </x:c>
      <x:c r="C9" t="n">
        <x:v>2</x:v>
      </x:c>
      <x:c r="D9" t="n">
        <x:v>2</x:v>
      </x:c>
      <x:c r="E9" t="str">
        <x:v>P1</x:v>
      </x:c>
      <x:c r="F9" t="str">
        <x:v>Connect and validate Google Search Console in staging</x:v>
      </x:c>
      <x:c r="G9" t="str">
        <x:v>Analyst</x:v>
      </x:c>
      <x:c r="H9" t="str">
        <x:v>A-001</x:v>
      </x:c>
      <x:c r="I9" t="str">
        <x:v>5h</x:v>
      </x:c>
      <x:c r="J9" t="str">
        <x:v>GSC availability check passes</x:v>
      </x:c>
      <x:c r="K9" t="str">
        <x:v>analyst</x:v>
      </x:c>
      <x:c r="L9" t="str">
        <x:v>Not started</x:v>
      </x:c>
      <x:c r="M9" t="str">
        <x:v>EV-UNAVAILABLE-GSC</x:v>
      </x:c>
      <x:c r="N9" s="12" t="n">
        <x:v>1</x:v>
      </x:c>
      <x:c r="O9" t="n">
        <x:f>D9-C9+1</x:f>
        <x:v>1</x:v>
      </x:c>
      <x:c r="P9" t="str">
        <x:v>moderate</x:v>
      </x:c>
      <x:c r="Q9" t="str">
        <x:v>Advisory only; no external system changes are executed by the studio.</x:v>
      </x:c>
    </x:row>
    <x:row r="10">
      <x:c r="A10" t="str">
        <x:v>A-005</x:v>
      </x:c>
      <x:c r="B10" t="str">
        <x:v>Evidence</x:v>
      </x:c>
      <x:c r="C10" t="n">
        <x:v>2</x:v>
      </x:c>
      <x:c r="D10" t="n">
        <x:v>2</x:v>
      </x:c>
      <x:c r="E10" t="str">
        <x:v>P1</x:v>
      </x:c>
      <x:c r="F10" t="str">
        <x:v>Connect and validate GA4 plus conversion definitions</x:v>
      </x:c>
      <x:c r="G10" t="str">
        <x:v>Analytics</x:v>
      </x:c>
      <x:c r="H10" t="str">
        <x:v>A-001</x:v>
      </x:c>
      <x:c r="I10" t="str">
        <x:v>6h</x:v>
      </x:c>
      <x:c r="J10" t="str">
        <x:v>GA4 event dictionary approved</x:v>
      </x:c>
      <x:c r="K10" t="str">
        <x:v>analyst</x:v>
      </x:c>
      <x:c r="L10" t="str">
        <x:v>Not started</x:v>
      </x:c>
      <x:c r="M10" t="str">
        <x:v>EV-UNAVAILABLE-GA4</x:v>
      </x:c>
      <x:c r="N10" s="12" t="n">
        <x:v>1</x:v>
      </x:c>
      <x:c r="O10" t="n">
        <x:f>D10-C10+1</x:f>
        <x:v>1</x:v>
      </x:c>
      <x:c r="P10" t="str">
        <x:v>moderate</x:v>
      </x:c>
      <x:c r="Q10" t="str">
        <x:v>Advisory only; no external system changes are executed by the studio.</x:v>
      </x:c>
    </x:row>
    <x:row r="11">
      <x:c r="A11" t="str">
        <x:v>A-006</x:v>
      </x:c>
      <x:c r="B11" t="str">
        <x:v>Evidence</x:v>
      </x:c>
      <x:c r="C11" t="n">
        <x:v>2</x:v>
      </x:c>
      <x:c r="D11" t="n">
        <x:v>2</x:v>
      </x:c>
      <x:c r="E11" t="str">
        <x:v>P2</x:v>
      </x:c>
      <x:c r="F11" t="str">
        <x:v>Connect SEMrush and PageSpeed or preserve truthful unavailable states</x:v>
      </x:c>
      <x:c r="G11" t="str">
        <x:v>Analyst</x:v>
      </x:c>
      <x:c r="H11" t="str">
        <x:v>A-001</x:v>
      </x:c>
      <x:c r="I11" t="str">
        <x:v>5h</x:v>
      </x:c>
      <x:c r="J11" t="str">
        <x:v>Two source readiness decisions</x:v>
      </x:c>
      <x:c r="K11" t="str">
        <x:v>analyst</x:v>
      </x:c>
      <x:c r="L11" t="str">
        <x:v>Not started</x:v>
      </x:c>
      <x:c r="M11" t="str">
        <x:v>EV-UNAVAILABLE-SEMRUSH, EV-UNAVAILABLE-PAGESPEED</x:v>
      </x:c>
      <x:c r="N11" s="12" t="n">
        <x:v>1</x:v>
      </x:c>
      <x:c r="O11" t="n">
        <x:f>D11-C11+1</x:f>
        <x:v>1</x:v>
      </x:c>
      <x:c r="P11" t="str">
        <x:v>low</x:v>
      </x:c>
      <x:c r="Q11" t="str">
        <x:v>Advisory only; no external system changes are executed by the studio.</x:v>
      </x:c>
    </x:row>
    <x:row r="12">
      <x:c r="A12" t="str">
        <x:v>A-007</x:v>
      </x:c>
      <x:c r="B12" t="str">
        <x:v>Technical</x:v>
      </x:c>
      <x:c r="C12" t="n">
        <x:v>3</x:v>
      </x:c>
      <x:c r="D12" t="n">
        <x:v>3</x:v>
      </x:c>
      <x:c r="E12" t="str">
        <x:v>P1</x:v>
      </x:c>
      <x:c r="F12" t="str">
        <x:v>Validate HTTP status distribution and error-page ownership</x:v>
      </x:c>
      <x:c r="G12" t="str">
        <x:v>Technical SEO</x:v>
      </x:c>
      <x:c r="H12" t="str">
        <x:v>A-003</x:v>
      </x:c>
      <x:c r="I12" t="str">
        <x:v>6h</x:v>
      </x:c>
      <x:c r="J12" t="str">
        <x:v>Every error URL assigned a disposition</x:v>
      </x:c>
      <x:c r="K12" t="str">
        <x:v>analyst</x:v>
      </x:c>
      <x:c r="L12" t="str">
        <x:v>Not started</x:v>
      </x:c>
      <x:c r="M12" t="str">
        <x:v>EV-0155, EV-0199, EV-0204, EV-0205, EV-0208, EV-0209, EV-0219, EV-0222</x:v>
      </x:c>
      <x:c r="N12" s="12" t="n">
        <x:v>1</x:v>
      </x:c>
      <x:c r="O12" t="n">
        <x:f>D12-C12+1</x:f>
        <x:v>1</x:v>
      </x:c>
      <x:c r="P12" t="str">
        <x:v>moderate</x:v>
      </x:c>
      <x:c r="Q12" t="str">
        <x:v>Advisory only; no external system changes are executed by the studio.</x:v>
      </x:c>
    </x:row>
    <x:row r="13">
      <x:c r="A13" t="str">
        <x:v>A-008</x:v>
      </x:c>
      <x:c r="B13" t="str">
        <x:v>Technical</x:v>
      </x:c>
      <x:c r="C13" t="n">
        <x:v>3</x:v>
      </x:c>
      <x:c r="D13" t="n">
        <x:v>3</x:v>
      </x:c>
      <x:c r="E13" t="str">
        <x:v>P1</x:v>
      </x:c>
      <x:c r="F13" t="str">
        <x:v>Validate redirect chains and reject redirect loops</x:v>
      </x:c>
      <x:c r="G13" t="str">
        <x:v>Engineering</x:v>
      </x:c>
      <x:c r="H13" t="str">
        <x:v>A-007</x:v>
      </x:c>
      <x:c r="I13" t="str">
        <x:v>7h</x:v>
      </x:c>
      <x:c r="J13" t="str">
        <x:v>Zero redirect loops</x:v>
      </x:c>
      <x:c r="K13" t="str">
        <x:v>agency_admin</x:v>
      </x:c>
      <x:c r="L13" t="str">
        <x:v>Not started</x:v>
      </x:c>
      <x:c r="M13" t="str">
        <x:v>EV-0155, EV-0199, EV-0204, EV-0205, EV-0208, EV-0209, EV-0219, EV-0222</x:v>
      </x:c>
      <x:c r="N13" s="12" t="n">
        <x:v>1</x:v>
      </x:c>
      <x:c r="O13" t="n">
        <x:f>D13-C13+1</x:f>
        <x:v>1</x:v>
      </x:c>
      <x:c r="P13" t="str">
        <x:v>high</x:v>
      </x:c>
      <x:c r="Q13" t="str">
        <x:v>Advisory only; no external system changes are executed by the studio.</x:v>
      </x:c>
    </x:row>
    <x:row r="14">
      <x:c r="A14" t="str">
        <x:v>A-009</x:v>
      </x:c>
      <x:c r="B14" t="str">
        <x:v>Technical</x:v>
      </x:c>
      <x:c r="C14" t="n">
        <x:v>3</x:v>
      </x:c>
      <x:c r="D14" t="n">
        <x:v>3</x:v>
      </x:c>
      <x:c r="E14" t="str">
        <x:v>P1</x:v>
      </x:c>
      <x:c r="F14" t="str">
        <x:v>Validate canonical graph targets against approved-domain pages</x:v>
      </x:c>
      <x:c r="G14" t="str">
        <x:v>Technical SEO</x:v>
      </x:c>
      <x:c r="H14" t="str">
        <x:v>A-007</x:v>
      </x:c>
      <x:c r="I14" t="str">
        <x:v>7h</x:v>
      </x:c>
      <x:c r="J14" t="str">
        <x:v>Zero unsafe canonical targets</x:v>
      </x:c>
      <x:c r="K14" t="str">
        <x:v>agency_admin</x:v>
      </x:c>
      <x:c r="L14" t="str">
        <x:v>Not started</x:v>
      </x:c>
      <x:c r="M14" t="str">
        <x:v>EV-0155, EV-0199, EV-0204, EV-0205, EV-0208, EV-0209, EV-0219, EV-0222</x:v>
      </x:c>
      <x:c r="N14" s="12" t="n">
        <x:v>1</x:v>
      </x:c>
      <x:c r="O14" t="n">
        <x:f>D14-C14+1</x:f>
        <x:v>1</x:v>
      </x:c>
      <x:c r="P14" t="str">
        <x:v>high</x:v>
      </x:c>
      <x:c r="Q14" t="str">
        <x:v>Advisory only; no external system changes are executed by the studio.</x:v>
      </x:c>
    </x:row>
    <x:row r="15">
      <x:c r="A15" t="str">
        <x:v>A-010</x:v>
      </x:c>
      <x:c r="B15" t="str">
        <x:v>On-page</x:v>
      </x:c>
      <x:c r="C15" t="n">
        <x:v>4</x:v>
      </x:c>
      <x:c r="D15" t="n">
        <x:v>4</x:v>
      </x:c>
      <x:c r="E15" t="str">
        <x:v>P1</x:v>
      </x:c>
      <x:c r="F15" t="str">
        <x:v>Resolve missing or weak title tags on priority templates</x:v>
      </x:c>
      <x:c r="G15" t="str">
        <x:v>SEO + Content</x:v>
      </x:c>
      <x:c r="H15" t="str">
        <x:v>A-007</x:v>
      </x:c>
      <x:c r="I15" t="str">
        <x:v>8h</x:v>
      </x:c>
      <x:c r="J15" t="str">
        <x:v>Priority title review completed</x:v>
      </x:c>
      <x:c r="K15" t="str">
        <x:v>analyst</x:v>
      </x:c>
      <x:c r="L15" t="str">
        <x:v>Not started</x:v>
      </x:c>
      <x:c r="M15" t="str">
        <x:v>EV-0223, EV-0226, EV-0231, EV-0235, EV-0241, EV-0258, EV-0259, EV-0261</x:v>
      </x:c>
      <x:c r="N15" s="12" t="n">
        <x:v>1</x:v>
      </x:c>
      <x:c r="O15" t="n">
        <x:f>D15-C15+1</x:f>
        <x:v>1</x:v>
      </x:c>
      <x:c r="P15" t="str">
        <x:v>moderate</x:v>
      </x:c>
      <x:c r="Q15" t="str">
        <x:v>Advisory only; no external system changes are executed by the studio.</x:v>
      </x:c>
    </x:row>
    <x:row r="16">
      <x:c r="A16" t="str">
        <x:v>A-011</x:v>
      </x:c>
      <x:c r="B16" t="str">
        <x:v>On-page</x:v>
      </x:c>
      <x:c r="C16" t="n">
        <x:v>4</x:v>
      </x:c>
      <x:c r="D16" t="n">
        <x:v>4</x:v>
      </x:c>
      <x:c r="E16" t="str">
        <x:v>P1</x:v>
      </x:c>
      <x:c r="F16" t="str">
        <x:v>Resolve missing meta descriptions on priority templates</x:v>
      </x:c>
      <x:c r="G16" t="str">
        <x:v>SEO + Content</x:v>
      </x:c>
      <x:c r="H16" t="str">
        <x:v>A-010</x:v>
      </x:c>
      <x:c r="I16" t="str">
        <x:v>8h</x:v>
      </x:c>
      <x:c r="J16" t="str">
        <x:v>Priority meta review completed</x:v>
      </x:c>
      <x:c r="K16" t="str">
        <x:v>analyst</x:v>
      </x:c>
      <x:c r="L16" t="str">
        <x:v>Not started</x:v>
      </x:c>
      <x:c r="M16" t="str">
        <x:v>EV-0223, EV-0226, EV-0231, EV-0235, EV-0241, EV-0258, EV-0259, EV-0261</x:v>
      </x:c>
      <x:c r="N16" s="12" t="n">
        <x:v>1</x:v>
      </x:c>
      <x:c r="O16" t="n">
        <x:f>D16-C16+1</x:f>
        <x:v>1</x:v>
      </x:c>
      <x:c r="P16" t="str">
        <x:v>moderate</x:v>
      </x:c>
      <x:c r="Q16" t="str">
        <x:v>Advisory only; no external system changes are executed by the studio.</x:v>
      </x:c>
    </x:row>
    <x:row r="17">
      <x:c r="A17" t="str">
        <x:v>A-012</x:v>
      </x:c>
      <x:c r="B17" t="str">
        <x:v>On-page</x:v>
      </x:c>
      <x:c r="C17" t="n">
        <x:v>4</x:v>
      </x:c>
      <x:c r="D17" t="n">
        <x:v>4</x:v>
      </x:c>
      <x:c r="E17" t="str">
        <x:v>P1</x:v>
      </x:c>
      <x:c r="F17" t="str">
        <x:v>Resolve missing, multiple or duplicated H1 patterns</x:v>
      </x:c>
      <x:c r="G17" t="str">
        <x:v>SEO + Engineering</x:v>
      </x:c>
      <x:c r="H17" t="str">
        <x:v>A-010</x:v>
      </x:c>
      <x:c r="I17" t="str">
        <x:v>6h</x:v>
      </x:c>
      <x:c r="J17" t="str">
        <x:v>Priority H1 review completed</x:v>
      </x:c>
      <x:c r="K17" t="str">
        <x:v>analyst</x:v>
      </x:c>
      <x:c r="L17" t="str">
        <x:v>Not started</x:v>
      </x:c>
      <x:c r="M17" t="str">
        <x:v>EV-0223, EV-0226, EV-0231, EV-0235, EV-0241, EV-0258, EV-0259, EV-0261</x:v>
      </x:c>
      <x:c r="N17" s="12" t="n">
        <x:v>1</x:v>
      </x:c>
      <x:c r="O17" t="n">
        <x:f>D17-C17+1</x:f>
        <x:v>1</x:v>
      </x:c>
      <x:c r="P17" t="str">
        <x:v>moderate</x:v>
      </x:c>
      <x:c r="Q17" t="str">
        <x:v>Advisory only; no external system changes are executed by the studio.</x:v>
      </x:c>
    </x:row>
    <x:row r="18">
      <x:c r="A18" t="str">
        <x:v>A-013</x:v>
      </x:c>
      <x:c r="B18" t="str">
        <x:v>Ecommerce</x:v>
      </x:c>
      <x:c r="C18" t="n">
        <x:v>5</x:v>
      </x:c>
      <x:c r="D18" t="n">
        <x:v>5</x:v>
      </x:c>
      <x:c r="E18" t="str">
        <x:v>P1</x:v>
      </x:c>
      <x:c r="F18" t="str">
        <x:v>Review product template indexability, titles and canonical behavior</x:v>
      </x:c>
      <x:c r="G18" t="str">
        <x:v>Technical SEO</x:v>
      </x:c>
      <x:c r="H18" t="str">
        <x:v>A-009</x:v>
      </x:c>
      <x:c r="I18" t="str">
        <x:v>8h</x:v>
      </x:c>
      <x:c r="J18" t="str">
        <x:v>Product template QA passes</x:v>
      </x:c>
      <x:c r="K18" t="str">
        <x:v>agency_admin</x:v>
      </x:c>
      <x:c r="L18" t="str">
        <x:v>Not started</x:v>
      </x:c>
      <x:c r="M18" t="str">
        <x:v>EV-0155, EV-0199, EV-0204, EV-0205, EV-0208, EV-0209, EV-0219, EV-0222</x:v>
      </x:c>
      <x:c r="N18" s="12" t="n">
        <x:v>1</x:v>
      </x:c>
      <x:c r="O18" t="n">
        <x:f>D18-C18+1</x:f>
        <x:v>1</x:v>
      </x:c>
      <x:c r="P18" t="str">
        <x:v>high</x:v>
      </x:c>
      <x:c r="Q18" t="str">
        <x:v>Advisory only; no external system changes are executed by the studio.</x:v>
      </x:c>
    </x:row>
    <x:row r="19">
      <x:c r="A19" t="str">
        <x:v>A-014</x:v>
      </x:c>
      <x:c r="B19" t="str">
        <x:v>Ecommerce</x:v>
      </x:c>
      <x:c r="C19" t="n">
        <x:v>5</x:v>
      </x:c>
      <x:c r="D19" t="n">
        <x:v>5</x:v>
      </x:c>
      <x:c r="E19" t="str">
        <x:v>P2</x:v>
      </x:c>
      <x:c r="F19" t="str">
        <x:v>Review collection pagination and duplicate-route behavior</x:v>
      </x:c>
      <x:c r="G19" t="str">
        <x:v>Technical SEO</x:v>
      </x:c>
      <x:c r="H19" t="str">
        <x:v>A-009</x:v>
      </x:c>
      <x:c r="I19" t="str">
        <x:v>7h</x:v>
      </x:c>
      <x:c r="J19" t="str">
        <x:v>Pagination decisions documented</x:v>
      </x:c>
      <x:c r="K19" t="str">
        <x:v>agency_admin</x:v>
      </x:c>
      <x:c r="L19" t="str">
        <x:v>Not started</x:v>
      </x:c>
      <x:c r="M19" t="str">
        <x:v>EV-0155, EV-0199, EV-0204, EV-0205, EV-0208, EV-0209, EV-0219, EV-0222</x:v>
      </x:c>
      <x:c r="N19" s="12" t="n">
        <x:v>1</x:v>
      </x:c>
      <x:c r="O19" t="n">
        <x:f>D19-C19+1</x:f>
        <x:v>1</x:v>
      </x:c>
      <x:c r="P19" t="str">
        <x:v>high</x:v>
      </x:c>
      <x:c r="Q19" t="str">
        <x:v>Advisory only; no external system changes are executed by the studio.</x:v>
      </x:c>
    </x:row>
    <x:row r="20">
      <x:c r="A20" t="str">
        <x:v>A-015</x:v>
      </x:c>
      <x:c r="B20" t="str">
        <x:v>Ecommerce</x:v>
      </x:c>
      <x:c r="C20" t="n">
        <x:v>5</x:v>
      </x:c>
      <x:c r="D20" t="n">
        <x:v>5</x:v>
      </x:c>
      <x:c r="E20" t="str">
        <x:v>P2</x:v>
      </x:c>
      <x:c r="F20" t="str">
        <x:v>Create a verified fact pack before proposing Product schema</x:v>
      </x:c>
      <x:c r="G20" t="str">
        <x:v>SEO + Merchandising</x:v>
      </x:c>
      <x:c r="H20" t="str">
        <x:v>A-013</x:v>
      </x:c>
      <x:c r="I20" t="str">
        <x:v>8h</x:v>
      </x:c>
      <x:c r="J20" t="str">
        <x:v>Zero unsupported schema properties</x:v>
      </x:c>
      <x:c r="K20" t="str">
        <x:v>agency_admin</x:v>
      </x:c>
      <x:c r="L20" t="str">
        <x:v>Not started</x:v>
      </x:c>
      <x:c r="M20" t="str">
        <x:v>EV-0001</x:v>
      </x:c>
      <x:c r="N20" s="12" t="n">
        <x:v>1</x:v>
      </x:c>
      <x:c r="O20" t="n">
        <x:f>D20-C20+1</x:f>
        <x:v>1</x:v>
      </x:c>
      <x:c r="P20" t="str">
        <x:v>high</x:v>
      </x:c>
      <x:c r="Q20" t="str">
        <x:v>Advisory only; no external system changes are executed by the studio.</x:v>
      </x:c>
    </x:row>
    <x:row r="21">
      <x:c r="A21" t="str">
        <x:v>A-016</x:v>
      </x:c>
      <x:c r="B21" t="str">
        <x:v>Evidence</x:v>
      </x:c>
      <x:c r="C21" t="n">
        <x:v>6</x:v>
      </x:c>
      <x:c r="D21" t="n">
        <x:v>6</x:v>
      </x:c>
      <x:c r="E21" t="str">
        <x:v>P2</x:v>
      </x:c>
      <x:c r="F21" t="str">
        <x:v>Import backlink evidence before authority scoring or outreach</x:v>
      </x:c>
      <x:c r="G21" t="str">
        <x:v>Off-page SEO</x:v>
      </x:c>
      <x:c r="H21" t="str">
        <x:v>A-006</x:v>
      </x:c>
      <x:c r="I21" t="str">
        <x:v>6h</x:v>
      </x:c>
      <x:c r="J21" t="str">
        <x:v>Backlink source validated or unavailable</x:v>
      </x:c>
      <x:c r="K21" t="str">
        <x:v>analyst</x:v>
      </x:c>
      <x:c r="L21" t="str">
        <x:v>Not started</x:v>
      </x:c>
      <x:c r="M21" t="str">
        <x:v>EV-0001</x:v>
      </x:c>
      <x:c r="N21" s="12" t="n">
        <x:v>1</x:v>
      </x:c>
      <x:c r="O21" t="n">
        <x:f>D21-C21+1</x:f>
        <x:v>1</x:v>
      </x:c>
      <x:c r="P21" t="str">
        <x:v>low</x:v>
      </x:c>
      <x:c r="Q21" t="str">
        <x:v>Advisory only; no external system changes are executed by the studio.</x:v>
      </x:c>
    </x:row>
    <x:row r="22">
      <x:c r="A22" t="str">
        <x:v>A-017</x:v>
      </x:c>
      <x:c r="B22" t="str">
        <x:v>Evidence</x:v>
      </x:c>
      <x:c r="C22" t="n">
        <x:v>6</x:v>
      </x:c>
      <x:c r="D22" t="n">
        <x:v>6</x:v>
      </x:c>
      <x:c r="E22" t="str">
        <x:v>P2</x:v>
      </x:c>
      <x:c r="F22" t="str">
        <x:v>Import GBP or BrightLocal evidence before local recommendations</x:v>
      </x:c>
      <x:c r="G22" t="str">
        <x:v>Local SEO</x:v>
      </x:c>
      <x:c r="H22" t="str">
        <x:v>A-006</x:v>
      </x:c>
      <x:c r="I22" t="str">
        <x:v>5h</x:v>
      </x:c>
      <x:c r="J22" t="str">
        <x:v>Local fact source validated or unavailable</x:v>
      </x:c>
      <x:c r="K22" t="str">
        <x:v>analyst</x:v>
      </x:c>
      <x:c r="L22" t="str">
        <x:v>Not started</x:v>
      </x:c>
      <x:c r="M22" t="str">
        <x:v>EV-0001</x:v>
      </x:c>
      <x:c r="N22" s="12" t="n">
        <x:v>1</x:v>
      </x:c>
      <x:c r="O22" t="n">
        <x:f>D22-C22+1</x:f>
        <x:v>1</x:v>
      </x:c>
      <x:c r="P22" t="str">
        <x:v>low</x:v>
      </x:c>
      <x:c r="Q22" t="str">
        <x:v>Advisory only; no external system changes are executed by the studio.</x:v>
      </x:c>
    </x:row>
    <x:row r="23">
      <x:c r="A23" t="str">
        <x:v>A-018</x:v>
      </x:c>
      <x:c r="B23" t="str">
        <x:v>Evidence</x:v>
      </x:c>
      <x:c r="C23" t="n">
        <x:v>6</x:v>
      </x:c>
      <x:c r="D23" t="n">
        <x:v>6</x:v>
      </x:c>
      <x:c r="E23" t="str">
        <x:v>P2</x:v>
      </x:c>
      <x:c r="F23" t="str">
        <x:v>Validate analytics and tag implementation before CRO claims</x:v>
      </x:c>
      <x:c r="G23" t="str">
        <x:v>Analytics</x:v>
      </x:c>
      <x:c r="H23" t="str">
        <x:v>A-005</x:v>
      </x:c>
      <x:c r="I23" t="str">
        <x:v>7h</x:v>
      </x:c>
      <x:c r="J23" t="str">
        <x:v>Tracking audit decision recorded</x:v>
      </x:c>
      <x:c r="K23" t="str">
        <x:v>analyst</x:v>
      </x:c>
      <x:c r="L23" t="str">
        <x:v>Not started</x:v>
      </x:c>
      <x:c r="M23" t="str">
        <x:v>EV-UNAVAILABLE-GA4</x:v>
      </x:c>
      <x:c r="N23" s="12" t="n">
        <x:v>1</x:v>
      </x:c>
      <x:c r="O23" t="n">
        <x:f>D23-C23+1</x:f>
        <x:v>1</x:v>
      </x:c>
      <x:c r="P23" t="str">
        <x:v>moderate</x:v>
      </x:c>
      <x:c r="Q23" t="str">
        <x:v>Advisory only; no external system changes are executed by the studio.</x:v>
      </x:c>
    </x:row>
    <x:row r="24">
      <x:c r="A24" t="str">
        <x:v>A-019</x:v>
      </x:c>
      <x:c r="B24" t="str">
        <x:v>Architecture</x:v>
      </x:c>
      <x:c r="C24" t="n">
        <x:v>7</x:v>
      </x:c>
      <x:c r="D24" t="n">
        <x:v>7</x:v>
      </x:c>
      <x:c r="E24" t="str">
        <x:v>P1</x:v>
      </x:c>
      <x:c r="F24" t="str">
        <x:v>Approve one accountable URL for each of 20 content intents</x:v>
      </x:c>
      <x:c r="G24" t="str">
        <x:v>SEO Strategist</x:v>
      </x:c>
      <x:c r="H24" t="str">
        <x:v>A-004, A-006</x:v>
      </x:c>
      <x:c r="I24" t="str">
        <x:v>8h</x:v>
      </x:c>
      <x:c r="J24" t="str">
        <x:v>20 unique target decisions</x:v>
      </x:c>
      <x:c r="K24" t="str">
        <x:v>analyst</x:v>
      </x:c>
      <x:c r="L24" t="str">
        <x:v>Not started</x:v>
      </x:c>
      <x:c r="M24" t="str">
        <x:v>EV-0001, EV-FACT-02, EV-FACT-03, EV-0011, EV-FACT-02, EV-0006, EV-FACT-02, EV-0017, EV-FACT-02, EV-0008, EV-FACT-02, EV-0018, EV-FACT-02, EV-0081, EV-FACT-02, EV-0009, EV-FACT-02, EV-0022, EV-FACT-02, EV-FACT-03</x:v>
      </x:c>
      <x:c r="N24" s="12" t="n">
        <x:v>1</x:v>
      </x:c>
      <x:c r="O24" t="n">
        <x:f>D24-C24+1</x:f>
        <x:v>1</x:v>
      </x:c>
      <x:c r="P24" t="str">
        <x:v>low</x:v>
      </x:c>
      <x:c r="Q24" t="str">
        <x:v>Advisory only; no external system changes are executed by the studio.</x:v>
      </x:c>
    </x:row>
    <x:row r="25">
      <x:c r="A25" t="str">
        <x:v>A-020</x:v>
      </x:c>
      <x:c r="B25" t="str">
        <x:v>Architecture</x:v>
      </x:c>
      <x:c r="C25" t="n">
        <x:v>7</x:v>
      </x:c>
      <x:c r="D25" t="n">
        <x:v>7</x:v>
      </x:c>
      <x:c r="E25" t="str">
        <x:v>P2</x:v>
      </x:c>
      <x:c r="F25" t="str">
        <x:v>Document duplicate-title and H1 clusters for consolidation review</x:v>
      </x:c>
      <x:c r="G25" t="str">
        <x:v>SEO Strategist</x:v>
      </x:c>
      <x:c r="H25" t="str">
        <x:v>A-019</x:v>
      </x:c>
      <x:c r="I25" t="str">
        <x:v>6h</x:v>
      </x:c>
      <x:c r="J25" t="str">
        <x:v>Every duplicate cluster has a decision</x:v>
      </x:c>
      <x:c r="K25" t="str">
        <x:v>analyst</x:v>
      </x:c>
      <x:c r="L25" t="str">
        <x:v>Not started</x:v>
      </x:c>
      <x:c r="M25" t="str">
        <x:v>EV-0223, EV-0226, EV-0231, EV-0235, EV-0241, EV-0258, EV-0259, EV-0261</x:v>
      </x:c>
      <x:c r="N25" s="12" t="n">
        <x:v>1</x:v>
      </x:c>
      <x:c r="O25" t="n">
        <x:f>D25-C25+1</x:f>
        <x:v>1</x:v>
      </x:c>
      <x:c r="P25" t="str">
        <x:v>low</x:v>
      </x:c>
      <x:c r="Q25" t="str">
        <x:v>Advisory only; no external system changes are executed by the studio.</x:v>
      </x:c>
    </x:row>
    <x:row r="26">
      <x:c r="A26" t="str">
        <x:v>A-021</x:v>
      </x:c>
      <x:c r="B26" t="str">
        <x:v>Architecture</x:v>
      </x:c>
      <x:c r="C26" t="n">
        <x:v>7</x:v>
      </x:c>
      <x:c r="D26" t="n">
        <x:v>7</x:v>
      </x:c>
      <x:c r="E26" t="str">
        <x:v>P2</x:v>
      </x:c>
      <x:c r="F26" t="str">
        <x:v>Freeze the URL architecture map and cannibalization ledger</x:v>
      </x:c>
      <x:c r="G26" t="str">
        <x:v>Agency admin</x:v>
      </x:c>
      <x:c r="H26" t="str">
        <x:v>A-019, A-020</x:v>
      </x:c>
      <x:c r="I26" t="str">
        <x:v>5h</x:v>
      </x:c>
      <x:c r="J26" t="str">
        <x:v>Gate 1 architecture approval</x:v>
      </x:c>
      <x:c r="K26" t="str">
        <x:v>agency_admin</x:v>
      </x:c>
      <x:c r="L26" t="str">
        <x:v>Not started</x:v>
      </x:c>
      <x:c r="M26" t="str">
        <x:v>EV-0001, EV-FACT-02, EV-FACT-03, EV-0011, EV-FACT-02, EV-0006, EV-FACT-02, EV-0017, EV-FACT-02, EV-0008, EV-FACT-02, EV-0018, EV-FACT-02, EV-0081, EV-FACT-02, EV-0009, EV-FACT-02, EV-0022, EV-FACT-02, EV-FACT-03</x:v>
      </x:c>
      <x:c r="N26" s="12" t="n">
        <x:v>1</x:v>
      </x:c>
      <x:c r="O26" t="n">
        <x:f>D26-C26+1</x:f>
        <x:v>1</x:v>
      </x:c>
      <x:c r="P26" t="str">
        <x:v>moderate</x:v>
      </x:c>
      <x:c r="Q26" t="str">
        <x:v>Advisory only; no external system changes are executed by the studio.</x:v>
      </x:c>
    </x:row>
    <x:row r="27">
      <x:c r="A27" t="str">
        <x:v>A-022</x:v>
      </x:c>
      <x:c r="B27" t="str">
        <x:v>Internal links</x:v>
      </x:c>
      <x:c r="C27" t="n">
        <x:v>8</x:v>
      </x:c>
      <x:c r="D27" t="n">
        <x:v>8</x:v>
      </x:c>
      <x:c r="E27" t="str">
        <x:v>P2</x:v>
      </x:c>
      <x:c r="F27" t="str">
        <x:v>Validate observed internal-link graph and orphan risk</x:v>
      </x:c>
      <x:c r="G27" t="str">
        <x:v>Technical SEO</x:v>
      </x:c>
      <x:c r="H27" t="str">
        <x:v>A-021</x:v>
      </x:c>
      <x:c r="I27" t="str">
        <x:v>7h</x:v>
      </x:c>
      <x:c r="J27" t="str">
        <x:v>Link graph reconciliation passes</x:v>
      </x:c>
      <x:c r="K27" t="str">
        <x:v>analyst</x:v>
      </x:c>
      <x:c r="L27" t="str">
        <x:v>Not started</x:v>
      </x:c>
      <x:c r="M27" t="str">
        <x:v>EV-0155, EV-0199, EV-0204, EV-0205, EV-0208, EV-0209, EV-0219, EV-0222</x:v>
      </x:c>
      <x:c r="N27" s="12" t="n">
        <x:v>1</x:v>
      </x:c>
      <x:c r="O27" t="n">
        <x:f>D27-C27+1</x:f>
        <x:v>1</x:v>
      </x:c>
      <x:c r="P27" t="str">
        <x:v>low</x:v>
      </x:c>
      <x:c r="Q27" t="str">
        <x:v>Advisory only; no external system changes are executed by the studio.</x:v>
      </x:c>
    </x:row>
    <x:row r="28">
      <x:c r="A28" t="str">
        <x:v>A-023</x:v>
      </x:c>
      <x:c r="B28" t="str">
        <x:v>Internal links</x:v>
      </x:c>
      <x:c r="C28" t="n">
        <x:v>8</x:v>
      </x:c>
      <x:c r="D28" t="n">
        <x:v>8</x:v>
      </x:c>
      <x:c r="E28" t="str">
        <x:v>P2</x:v>
      </x:c>
      <x:c r="F28" t="str">
        <x:v>Approve parent-child collection and product link candidates</x:v>
      </x:c>
      <x:c r="G28" t="str">
        <x:v>SEO + UX</x:v>
      </x:c>
      <x:c r="H28" t="str">
        <x:v>A-022</x:v>
      </x:c>
      <x:c r="I28" t="str">
        <x:v>7h</x:v>
      </x:c>
      <x:c r="J28" t="str">
        <x:v>Approved contextual link map</x:v>
      </x:c>
      <x:c r="K28" t="str">
        <x:v>analyst</x:v>
      </x:c>
      <x:c r="L28" t="str">
        <x:v>Not started</x:v>
      </x:c>
      <x:c r="M28" t="str">
        <x:v>EV-0001, EV-FACT-02, EV-FACT-03, EV-0011, EV-FACT-02, EV-0006, EV-FACT-02, EV-0017, EV-FACT-02, EV-0008, EV-FACT-02, EV-0018, EV-FACT-02, EV-0081, EV-FACT-02, EV-0009, EV-FACT-02, EV-0022, EV-FACT-02, EV-FACT-03</x:v>
      </x:c>
      <x:c r="N28" s="12" t="n">
        <x:v>1</x:v>
      </x:c>
      <x:c r="O28" t="n">
        <x:f>D28-C28+1</x:f>
        <x:v>1</x:v>
      </x:c>
      <x:c r="P28" t="str">
        <x:v>low</x:v>
      </x:c>
      <x:c r="Q28" t="str">
        <x:v>Advisory only; no external system changes are executed by the studio.</x:v>
      </x:c>
    </x:row>
    <x:row r="29">
      <x:c r="A29" t="str">
        <x:v>A-024</x:v>
      </x:c>
      <x:c r="B29" t="str">
        <x:v>Internal links</x:v>
      </x:c>
      <x:c r="C29" t="n">
        <x:v>8</x:v>
      </x:c>
      <x:c r="D29" t="n">
        <x:v>8</x:v>
      </x:c>
      <x:c r="E29" t="str">
        <x:v>P3</x:v>
      </x:c>
      <x:c r="F29" t="str">
        <x:v>Review breadcrumbs and navigation labels for descriptive anchors</x:v>
      </x:c>
      <x:c r="G29" t="str">
        <x:v>UX + Engineering</x:v>
      </x:c>
      <x:c r="H29" t="str">
        <x:v>A-022</x:v>
      </x:c>
      <x:c r="I29" t="str">
        <x:v>6h</x:v>
      </x:c>
      <x:c r="J29" t="str">
        <x:v>Navigation review completed</x:v>
      </x:c>
      <x:c r="K29" t="str">
        <x:v>analyst</x:v>
      </x:c>
      <x:c r="L29" t="str">
        <x:v>Not started</x:v>
      </x:c>
      <x:c r="M29" t="str">
        <x:v>EV-0001</x:v>
      </x:c>
      <x:c r="N29" s="12" t="n">
        <x:v>1</x:v>
      </x:c>
      <x:c r="O29" t="n">
        <x:f>D29-C29+1</x:f>
        <x:v>1</x:v>
      </x:c>
      <x:c r="P29" t="str">
        <x:v>low</x:v>
      </x:c>
      <x:c r="Q29" t="str">
        <x:v>Advisory only; no external system changes are executed by the studio.</x:v>
      </x:c>
    </x:row>
    <x:row r="30">
      <x:c r="A30" t="str">
        <x:v>A-025</x:v>
      </x:c>
      <x:c r="B30" t="str">
        <x:v>Implementation</x:v>
      </x:c>
      <x:c r="C30" t="n">
        <x:v>9</x:v>
      </x:c>
      <x:c r="D30" t="n">
        <x:v>9</x:v>
      </x:c>
      <x:c r="E30" t="str">
        <x:v>P1</x:v>
      </x:c>
      <x:c r="F30" t="str">
        <x:v>Stage title and meta changes on representative templates</x:v>
      </x:c>
      <x:c r="G30" t="str">
        <x:v>Engineering</x:v>
      </x:c>
      <x:c r="H30" t="str">
        <x:v>A-010, A-011</x:v>
      </x:c>
      <x:c r="I30" t="str">
        <x:v>10h</x:v>
      </x:c>
      <x:c r="J30" t="str">
        <x:v>Template metadata QA passes</x:v>
      </x:c>
      <x:c r="K30" t="str">
        <x:v>analyst</x:v>
      </x:c>
      <x:c r="L30" t="str">
        <x:v>Not started</x:v>
      </x:c>
      <x:c r="M30" t="str">
        <x:v>EV-0223, EV-0226, EV-0231, EV-0235, EV-0241, EV-0258, EV-0259, EV-0261</x:v>
      </x:c>
      <x:c r="N30" s="12" t="n">
        <x:v>1</x:v>
      </x:c>
      <x:c r="O30" t="n">
        <x:f>D30-C30+1</x:f>
        <x:v>1</x:v>
      </x:c>
      <x:c r="P30" t="str">
        <x:v>moderate</x:v>
      </x:c>
      <x:c r="Q30" t="str">
        <x:v>Advisory only; no external system changes are executed by the studio.</x:v>
      </x:c>
    </x:row>
    <x:row r="31">
      <x:c r="A31" t="str">
        <x:v>A-026</x:v>
      </x:c>
      <x:c r="B31" t="str">
        <x:v>Implementation</x:v>
      </x:c>
      <x:c r="C31" t="n">
        <x:v>9</x:v>
      </x:c>
      <x:c r="D31" t="n">
        <x:v>9</x:v>
      </x:c>
      <x:c r="E31" t="str">
        <x:v>P1</x:v>
      </x:c>
      <x:c r="F31" t="str">
        <x:v>Stage H1 and heading hierarchy changes</x:v>
      </x:c>
      <x:c r="G31" t="str">
        <x:v>Engineering</x:v>
      </x:c>
      <x:c r="H31" t="str">
        <x:v>A-012</x:v>
      </x:c>
      <x:c r="I31" t="str">
        <x:v>8h</x:v>
      </x:c>
      <x:c r="J31" t="str">
        <x:v>Heading accessibility QA passes</x:v>
      </x:c>
      <x:c r="K31" t="str">
        <x:v>analyst</x:v>
      </x:c>
      <x:c r="L31" t="str">
        <x:v>Not started</x:v>
      </x:c>
      <x:c r="M31" t="str">
        <x:v>EV-0223, EV-0226, EV-0231, EV-0235, EV-0241, EV-0258, EV-0259, EV-0261</x:v>
      </x:c>
      <x:c r="N31" s="12" t="n">
        <x:v>1</x:v>
      </x:c>
      <x:c r="O31" t="n">
        <x:f>D31-C31+1</x:f>
        <x:v>1</x:v>
      </x:c>
      <x:c r="P31" t="str">
        <x:v>moderate</x:v>
      </x:c>
      <x:c r="Q31" t="str">
        <x:v>Advisory only; no external system changes are executed by the studio.</x:v>
      </x:c>
    </x:row>
    <x:row r="32">
      <x:c r="A32" t="str">
        <x:v>A-027</x:v>
      </x:c>
      <x:c r="B32" t="str">
        <x:v>Implementation</x:v>
      </x:c>
      <x:c r="C32" t="n">
        <x:v>9</x:v>
      </x:c>
      <x:c r="D32" t="n">
        <x:v>9</x:v>
      </x:c>
      <x:c r="E32" t="str">
        <x:v>P2</x:v>
      </x:c>
      <x:c r="F32" t="str">
        <x:v>Run visual, mobile and structured-data regression checks</x:v>
      </x:c>
      <x:c r="G32" t="str">
        <x:v>QA</x:v>
      </x:c>
      <x:c r="H32" t="str">
        <x:v>A-025, A-026</x:v>
      </x:c>
      <x:c r="I32" t="str">
        <x:v>8h</x:v>
      </x:c>
      <x:c r="J32" t="str">
        <x:v>Zero Critical or High regressions</x:v>
      </x:c>
      <x:c r="K32" t="str">
        <x:v>agency_admin</x:v>
      </x:c>
      <x:c r="L32" t="str">
        <x:v>Not started</x:v>
      </x:c>
      <x:c r="M32" t="str">
        <x:v>EV-0155, EV-0199, EV-0204, EV-0205, EV-0208, EV-0209, EV-0219, EV-0222</x:v>
      </x:c>
      <x:c r="N32" s="12" t="n">
        <x:v>1</x:v>
      </x:c>
      <x:c r="O32" t="n">
        <x:f>D32-C32+1</x:f>
        <x:v>1</x:v>
      </x:c>
      <x:c r="P32" t="str">
        <x:v>moderate</x:v>
      </x:c>
      <x:c r="Q32" t="str">
        <x:v>Advisory only; no external system changes are executed by the studio.</x:v>
      </x:c>
    </x:row>
    <x:row r="33">
      <x:c r="A33" t="str">
        <x:v>A-028</x:v>
      </x:c>
      <x:c r="B33" t="str">
        <x:v>Content</x:v>
      </x:c>
      <x:c r="C33" t="n">
        <x:v>10</x:v>
      </x:c>
      <x:c r="D33" t="n">
        <x:v>10</x:v>
      </x:c>
      <x:c r="E33" t="str">
        <x:v>P2</x:v>
      </x:c>
      <x:c r="F33" t="str">
        <x:v>Editorially review content assets 01-03</x:v>
      </x:c>
      <x:c r="G33" t="str">
        <x:v>Content Lead</x:v>
      </x:c>
      <x:c r="H33" t="str">
        <x:v>A-021</x:v>
      </x:c>
      <x:c r="I33" t="str">
        <x:v>9h</x:v>
      </x:c>
      <x:c r="J33" t="str">
        <x:v>Three evidence-led drafts approved or revised</x:v>
      </x:c>
      <x:c r="K33" t="str">
        <x:v>client_reviewer</x:v>
      </x:c>
      <x:c r="L33" t="str">
        <x:v>Not started</x:v>
      </x:c>
      <x:c r="M33" t="str">
        <x:v>EV-0001, EV-FACT-02, EV-FACT-03, EV-0011, EV-FACT-02, EV-0006, EV-FACT-02, EV-0017, EV-FACT-02, EV-0008, EV-FACT-02, EV-0018, EV-FACT-02, EV-0081, EV-FACT-02, EV-0009, EV-FACT-02, EV-0022, EV-FACT-02, EV-FACT-03</x:v>
      </x:c>
      <x:c r="N33" s="12" t="n">
        <x:v>1</x:v>
      </x:c>
      <x:c r="O33" t="n">
        <x:f>D33-C33+1</x:f>
        <x:v>1</x:v>
      </x:c>
      <x:c r="P33" t="str">
        <x:v>low</x:v>
      </x:c>
      <x:c r="Q33" t="str">
        <x:v>Advisory only; no external system changes are executed by the studio.</x:v>
      </x:c>
    </x:row>
    <x:row r="34">
      <x:c r="A34" t="str">
        <x:v>A-029</x:v>
      </x:c>
      <x:c r="B34" t="str">
        <x:v>Content</x:v>
      </x:c>
      <x:c r="C34" t="n">
        <x:v>10</x:v>
      </x:c>
      <x:c r="D34" t="n">
        <x:v>10</x:v>
      </x:c>
      <x:c r="E34" t="str">
        <x:v>P2</x:v>
      </x:c>
      <x:c r="F34" t="str">
        <x:v>Editorially review content assets 04-06</x:v>
      </x:c>
      <x:c r="G34" t="str">
        <x:v>Content Lead</x:v>
      </x:c>
      <x:c r="H34" t="str">
        <x:v>A-028</x:v>
      </x:c>
      <x:c r="I34" t="str">
        <x:v>9h</x:v>
      </x:c>
      <x:c r="J34" t="str">
        <x:v>Three additional drafts approved or revised</x:v>
      </x:c>
      <x:c r="K34" t="str">
        <x:v>client_reviewer</x:v>
      </x:c>
      <x:c r="L34" t="str">
        <x:v>Not started</x:v>
      </x:c>
      <x:c r="M34" t="str">
        <x:v>EV-0001, EV-FACT-02, EV-FACT-03, EV-0011, EV-FACT-02, EV-0006, EV-FACT-02, EV-0017, EV-FACT-02, EV-0008, EV-FACT-02, EV-0018, EV-FACT-02, EV-0081, EV-FACT-02, EV-0009, EV-FACT-02, EV-0022, EV-FACT-02, EV-FACT-03</x:v>
      </x:c>
      <x:c r="N34" s="12" t="n">
        <x:v>1</x:v>
      </x:c>
      <x:c r="O34" t="n">
        <x:f>D34-C34+1</x:f>
        <x:v>1</x:v>
      </x:c>
      <x:c r="P34" t="str">
        <x:v>low</x:v>
      </x:c>
      <x:c r="Q34" t="str">
        <x:v>Advisory only; no external system changes are executed by the studio.</x:v>
      </x:c>
    </x:row>
    <x:row r="35">
      <x:c r="A35" t="str">
        <x:v>A-030</x:v>
      </x:c>
      <x:c r="B35" t="str">
        <x:v>Content</x:v>
      </x:c>
      <x:c r="C35" t="n">
        <x:v>10</x:v>
      </x:c>
      <x:c r="D35" t="n">
        <x:v>10</x:v>
      </x:c>
      <x:c r="E35" t="str">
        <x:v>P2</x:v>
      </x:c>
      <x:c r="F35" t="str">
        <x:v>Run claim, link and similarity checks for assets 01-06</x:v>
      </x:c>
      <x:c r="G35" t="str">
        <x:v>QA</x:v>
      </x:c>
      <x:c r="H35" t="str">
        <x:v>A-028, A-029</x:v>
      </x:c>
      <x:c r="I35" t="str">
        <x:v>6h</x:v>
      </x:c>
      <x:c r="J35" t="str">
        <x:v>Zero unsupported or cannibalizing drafts</x:v>
      </x:c>
      <x:c r="K35" t="str">
        <x:v>analyst</x:v>
      </x:c>
      <x:c r="L35" t="str">
        <x:v>Not started</x:v>
      </x:c>
      <x:c r="M35" t="str">
        <x:v>EV-0001, EV-FACT-02, EV-FACT-03, EV-0011, EV-FACT-02, EV-0006, EV-FACT-02, EV-0017, EV-FACT-02, EV-0008, EV-FACT-02, EV-0018, EV-FACT-02, EV-0081, EV-FACT-02, EV-0009, EV-FACT-02, EV-0022, EV-FACT-02, EV-FACT-03</x:v>
      </x:c>
      <x:c r="N35" s="12" t="n">
        <x:v>1</x:v>
      </x:c>
      <x:c r="O35" t="n">
        <x:f>D35-C35+1</x:f>
        <x:v>1</x:v>
      </x:c>
      <x:c r="P35" t="str">
        <x:v>low</x:v>
      </x:c>
      <x:c r="Q35" t="str">
        <x:v>Advisory only; no external system changes are executed by the studio.</x:v>
      </x:c>
    </x:row>
    <x:row r="36">
      <x:c r="A36" t="str">
        <x:v>A-031</x:v>
      </x:c>
      <x:c r="B36" t="str">
        <x:v>Content</x:v>
      </x:c>
      <x:c r="C36" t="n">
        <x:v>11</x:v>
      </x:c>
      <x:c r="D36" t="n">
        <x:v>11</x:v>
      </x:c>
      <x:c r="E36" t="str">
        <x:v>P2</x:v>
      </x:c>
      <x:c r="F36" t="str">
        <x:v>Editorially review content assets 07-11</x:v>
      </x:c>
      <x:c r="G36" t="str">
        <x:v>Content Lead</x:v>
      </x:c>
      <x:c r="H36" t="str">
        <x:v>A-030</x:v>
      </x:c>
      <x:c r="I36" t="str">
        <x:v>12h</x:v>
      </x:c>
      <x:c r="J36" t="str">
        <x:v>Five drafts approved or revised</x:v>
      </x:c>
      <x:c r="K36" t="str">
        <x:v>client_reviewer</x:v>
      </x:c>
      <x:c r="L36" t="str">
        <x:v>Not started</x:v>
      </x:c>
      <x:c r="M36" t="str">
        <x:v>EV-0001, EV-FACT-02, EV-FACT-03, EV-0011, EV-FACT-02, EV-0006, EV-FACT-02, EV-0017, EV-FACT-02, EV-0008, EV-FACT-02, EV-0018, EV-FACT-02, EV-0081, EV-FACT-02, EV-0009, EV-FACT-02, EV-0022, EV-FACT-02, EV-FACT-03</x:v>
      </x:c>
      <x:c r="N36" s="12" t="n">
        <x:v>1</x:v>
      </x:c>
      <x:c r="O36" t="n">
        <x:f>D36-C36+1</x:f>
        <x:v>1</x:v>
      </x:c>
      <x:c r="P36" t="str">
        <x:v>low</x:v>
      </x:c>
      <x:c r="Q36" t="str">
        <x:v>Advisory only; no external system changes are executed by the studio.</x:v>
      </x:c>
    </x:row>
    <x:row r="37">
      <x:c r="A37" t="str">
        <x:v>A-032</x:v>
      </x:c>
      <x:c r="B37" t="str">
        <x:v>Content</x:v>
      </x:c>
      <x:c r="C37" t="n">
        <x:v>11</x:v>
      </x:c>
      <x:c r="D37" t="n">
        <x:v>11</x:v>
      </x:c>
      <x:c r="E37" t="str">
        <x:v>P2</x:v>
      </x:c>
      <x:c r="F37" t="str">
        <x:v>Editorially review content assets 12-15</x:v>
      </x:c>
      <x:c r="G37" t="str">
        <x:v>Content Lead</x:v>
      </x:c>
      <x:c r="H37" t="str">
        <x:v>A-031</x:v>
      </x:c>
      <x:c r="I37" t="str">
        <x:v>10h</x:v>
      </x:c>
      <x:c r="J37" t="str">
        <x:v>Four drafts approved or revised</x:v>
      </x:c>
      <x:c r="K37" t="str">
        <x:v>client_reviewer</x:v>
      </x:c>
      <x:c r="L37" t="str">
        <x:v>Not started</x:v>
      </x:c>
      <x:c r="M37" t="str">
        <x:v>EV-0001, EV-FACT-02, EV-FACT-03, EV-0011, EV-FACT-02, EV-0006, EV-FACT-02, EV-0017, EV-FACT-02, EV-0008, EV-FACT-02, EV-0018, EV-FACT-02, EV-0081, EV-FACT-02, EV-0009, EV-FACT-02, EV-0022, EV-FACT-02, EV-FACT-03</x:v>
      </x:c>
      <x:c r="N37" s="12" t="n">
        <x:v>1</x:v>
      </x:c>
      <x:c r="O37" t="n">
        <x:f>D37-C37+1</x:f>
        <x:v>1</x:v>
      </x:c>
      <x:c r="P37" t="str">
        <x:v>low</x:v>
      </x:c>
      <x:c r="Q37" t="str">
        <x:v>Advisory only; no external system changes are executed by the studio.</x:v>
      </x:c>
    </x:row>
    <x:row r="38">
      <x:c r="A38" t="str">
        <x:v>A-033</x:v>
      </x:c>
      <x:c r="B38" t="str">
        <x:v>Content</x:v>
      </x:c>
      <x:c r="C38" t="n">
        <x:v>11</x:v>
      </x:c>
      <x:c r="D38" t="n">
        <x:v>11</x:v>
      </x:c>
      <x:c r="E38" t="str">
        <x:v>P2</x:v>
      </x:c>
      <x:c r="F38" t="str">
        <x:v>Run claim, link and similarity checks for assets 07-15</x:v>
      </x:c>
      <x:c r="G38" t="str">
        <x:v>QA</x:v>
      </x:c>
      <x:c r="H38" t="str">
        <x:v>A-031, A-032</x:v>
      </x:c>
      <x:c r="I38" t="str">
        <x:v>8h</x:v>
      </x:c>
      <x:c r="J38" t="str">
        <x:v>Zero unsupported or cannibalizing drafts</x:v>
      </x:c>
      <x:c r="K38" t="str">
        <x:v>analyst</x:v>
      </x:c>
      <x:c r="L38" t="str">
        <x:v>Not started</x:v>
      </x:c>
      <x:c r="M38" t="str">
        <x:v>EV-0001, EV-FACT-02, EV-FACT-03, EV-0011, EV-FACT-02, EV-0006, EV-FACT-02, EV-0017, EV-FACT-02, EV-0008, EV-FACT-02, EV-0018, EV-FACT-02, EV-0081, EV-FACT-02, EV-0009, EV-FACT-02, EV-0022, EV-FACT-02, EV-FACT-03</x:v>
      </x:c>
      <x:c r="N38" s="12" t="n">
        <x:v>1</x:v>
      </x:c>
      <x:c r="O38" t="n">
        <x:f>D38-C38+1</x:f>
        <x:v>1</x:v>
      </x:c>
      <x:c r="P38" t="str">
        <x:v>low</x:v>
      </x:c>
      <x:c r="Q38" t="str">
        <x:v>Advisory only; no external system changes are executed by the studio.</x:v>
      </x:c>
    </x:row>
    <x:row r="39">
      <x:c r="A39" t="str">
        <x:v>A-034</x:v>
      </x:c>
      <x:c r="B39" t="str">
        <x:v>Content</x:v>
      </x:c>
      <x:c r="C39" t="n">
        <x:v>12</x:v>
      </x:c>
      <x:c r="D39" t="n">
        <x:v>12</x:v>
      </x:c>
      <x:c r="E39" t="str">
        <x:v>P2</x:v>
      </x:c>
      <x:c r="F39" t="str">
        <x:v>Editorially review content assets 16-20</x:v>
      </x:c>
      <x:c r="G39" t="str">
        <x:v>Content Lead</x:v>
      </x:c>
      <x:c r="H39" t="str">
        <x:v>A-033</x:v>
      </x:c>
      <x:c r="I39" t="str">
        <x:v>12h</x:v>
      </x:c>
      <x:c r="J39" t="str">
        <x:v>Five drafts approved or revised</x:v>
      </x:c>
      <x:c r="K39" t="str">
        <x:v>client_reviewer</x:v>
      </x:c>
      <x:c r="L39" t="str">
        <x:v>Not started</x:v>
      </x:c>
      <x:c r="M39" t="str">
        <x:v>EV-0001, EV-FACT-02, EV-FACT-03, EV-0011, EV-FACT-02, EV-0006, EV-FACT-02, EV-0017, EV-FACT-02, EV-0008, EV-FACT-02, EV-0018, EV-FACT-02, EV-0081, EV-FACT-02, EV-0009, EV-FACT-02, EV-0022, EV-FACT-02, EV-FACT-03</x:v>
      </x:c>
      <x:c r="N39" s="12" t="n">
        <x:v>1</x:v>
      </x:c>
      <x:c r="O39" t="n">
        <x:f>D39-C39+1</x:f>
        <x:v>1</x:v>
      </x:c>
      <x:c r="P39" t="str">
        <x:v>low</x:v>
      </x:c>
      <x:c r="Q39" t="str">
        <x:v>Advisory only; no external system changes are executed by the studio.</x:v>
      </x:c>
    </x:row>
    <x:row r="40">
      <x:c r="A40" t="str">
        <x:v>A-035</x:v>
      </x:c>
      <x:c r="B40" t="str">
        <x:v>Content</x:v>
      </x:c>
      <x:c r="C40" t="n">
        <x:v>12</x:v>
      </x:c>
      <x:c r="D40" t="n">
        <x:v>12</x:v>
      </x:c>
      <x:c r="E40" t="str">
        <x:v>P2</x:v>
      </x:c>
      <x:c r="F40" t="str">
        <x:v>Validate accessibility, reading flow and calls to action</x:v>
      </x:c>
      <x:c r="G40" t="str">
        <x:v>UX + Content</x:v>
      </x:c>
      <x:c r="H40" t="str">
        <x:v>A-034</x:v>
      </x:c>
      <x:c r="I40" t="str">
        <x:v>8h</x:v>
      </x:c>
      <x:c r="J40" t="str">
        <x:v>Content accessibility checklist passes</x:v>
      </x:c>
      <x:c r="K40" t="str">
        <x:v>analyst</x:v>
      </x:c>
      <x:c r="L40" t="str">
        <x:v>Not started</x:v>
      </x:c>
      <x:c r="M40" t="str">
        <x:v>EV-0001, EV-FACT-02, EV-FACT-03, EV-0011, EV-FACT-02, EV-0006, EV-FACT-02, EV-0017, EV-FACT-02, EV-0008, EV-FACT-02, EV-0018, EV-FACT-02, EV-0081, EV-FACT-02, EV-0009, EV-FACT-02, EV-0022, EV-FACT-02, EV-FACT-03</x:v>
      </x:c>
      <x:c r="N40" s="12" t="n">
        <x:v>1</x:v>
      </x:c>
      <x:c r="O40" t="n">
        <x:f>D40-C40+1</x:f>
        <x:v>1</x:v>
      </x:c>
      <x:c r="P40" t="str">
        <x:v>low</x:v>
      </x:c>
      <x:c r="Q40" t="str">
        <x:v>Advisory only; no external system changes are executed by the studio.</x:v>
      </x:c>
    </x:row>
    <x:row r="41">
      <x:c r="A41" t="str">
        <x:v>A-036</x:v>
      </x:c>
      <x:c r="B41" t="str">
        <x:v>Content</x:v>
      </x:c>
      <x:c r="C41" t="n">
        <x:v>12</x:v>
      </x:c>
      <x:c r="D41" t="n">
        <x:v>12</x:v>
      </x:c>
      <x:c r="E41" t="str">
        <x:v>P2</x:v>
      </x:c>
      <x:c r="F41" t="str">
        <x:v>Complete Gate 2 content and implementation decision</x:v>
      </x:c>
      <x:c r="G41" t="str">
        <x:v>Agency admin + client</x:v>
      </x:c>
      <x:c r="H41" t="str">
        <x:v>A-034, A-035</x:v>
      </x:c>
      <x:c r="I41" t="str">
        <x:v>5h</x:v>
      </x:c>
      <x:c r="J41" t="str">
        <x:v>Gate 2 decision recorded</x:v>
      </x:c>
      <x:c r="K41" t="str">
        <x:v>agency_admin</x:v>
      </x:c>
      <x:c r="L41" t="str">
        <x:v>Not started</x:v>
      </x:c>
      <x:c r="M41" t="str">
        <x:v>EV-0001, EV-FACT-02, EV-FACT-03, EV-0011, EV-FACT-02, EV-0006, EV-FACT-02, EV-0017, EV-FACT-02, EV-0008, EV-FACT-02, EV-0018, EV-FACT-02, EV-0081, EV-FACT-02, EV-0009, EV-FACT-02, EV-0022, EV-FACT-02, EV-FACT-03</x:v>
      </x:c>
      <x:c r="N41" s="12" t="n">
        <x:v>1</x:v>
      </x:c>
      <x:c r="O41" t="n">
        <x:f>D41-C41+1</x:f>
        <x:v>1</x:v>
      </x:c>
      <x:c r="P41" t="str">
        <x:v>high</x:v>
      </x:c>
      <x:c r="Q41" t="str">
        <x:v>Advisory only; no external system changes are executed by the studio.</x:v>
      </x:c>
    </x:row>
    <x:row r="42">
      <x:c r="A42" t="str">
        <x:v>A-037</x:v>
      </x:c>
      <x:c r="B42" t="str">
        <x:v>CRO</x:v>
      </x:c>
      <x:c r="C42" t="n">
        <x:v>13</x:v>
      </x:c>
      <x:c r="D42" t="n">
        <x:v>13</x:v>
      </x:c>
      <x:c r="E42" t="str">
        <x:v>P3</x:v>
      </x:c>
      <x:c r="F42" t="str">
        <x:v>Map priority conversion journeys after GA4 validation</x:v>
      </x:c>
      <x:c r="G42" t="str">
        <x:v>UX + Analytics</x:v>
      </x:c>
      <x:c r="H42" t="str">
        <x:v>A-018</x:v>
      </x:c>
      <x:c r="I42" t="str">
        <x:v>8h</x:v>
      </x:c>
      <x:c r="J42" t="str">
        <x:v>Approved journey map</x:v>
      </x:c>
      <x:c r="K42" t="str">
        <x:v>analyst</x:v>
      </x:c>
      <x:c r="L42" t="str">
        <x:v>Not started</x:v>
      </x:c>
      <x:c r="M42" t="str">
        <x:v>EV-UNAVAILABLE-GA4, EV-0001</x:v>
      </x:c>
      <x:c r="N42" s="12" t="n">
        <x:v>1</x:v>
      </x:c>
      <x:c r="O42" t="n">
        <x:f>D42-C42+1</x:f>
        <x:v>1</x:v>
      </x:c>
      <x:c r="P42" t="str">
        <x:v>low</x:v>
      </x:c>
      <x:c r="Q42" t="str">
        <x:v>Advisory only; no external system changes are executed by the studio.</x:v>
      </x:c>
    </x:row>
    <x:row r="43">
      <x:c r="A43" t="str">
        <x:v>A-038</x:v>
      </x:c>
      <x:c r="B43" t="str">
        <x:v>CRO</x:v>
      </x:c>
      <x:c r="C43" t="n">
        <x:v>13</x:v>
      </x:c>
      <x:c r="D43" t="n">
        <x:v>13</x:v>
      </x:c>
      <x:c r="E43" t="str">
        <x:v>P3</x:v>
      </x:c>
      <x:c r="F43" t="str">
        <x:v>Create an evidence-supported experiment backlog</x:v>
      </x:c>
      <x:c r="G43" t="str">
        <x:v>UX + Analytics</x:v>
      </x:c>
      <x:c r="H43" t="str">
        <x:v>A-037</x:v>
      </x:c>
      <x:c r="I43" t="str">
        <x:v>8h</x:v>
      </x:c>
      <x:c r="J43" t="str">
        <x:v>Experiments have baselines and owners</x:v>
      </x:c>
      <x:c r="K43" t="str">
        <x:v>analyst</x:v>
      </x:c>
      <x:c r="L43" t="str">
        <x:v>Not started</x:v>
      </x:c>
      <x:c r="M43" t="str">
        <x:v>EV-UNAVAILABLE-GA4, EV-0001</x:v>
      </x:c>
      <x:c r="N43" s="12" t="n">
        <x:v>1</x:v>
      </x:c>
      <x:c r="O43" t="n">
        <x:f>D43-C43+1</x:f>
        <x:v>1</x:v>
      </x:c>
      <x:c r="P43" t="str">
        <x:v>low</x:v>
      </x:c>
      <x:c r="Q43" t="str">
        <x:v>Advisory only; no external system changes are executed by the studio.</x:v>
      </x:c>
    </x:row>
    <x:row r="44">
      <x:c r="A44" t="str">
        <x:v>A-039</x:v>
      </x:c>
      <x:c r="B44" t="str">
        <x:v>CRO</x:v>
      </x:c>
      <x:c r="C44" t="n">
        <x:v>13</x:v>
      </x:c>
      <x:c r="D44" t="n">
        <x:v>13</x:v>
      </x:c>
      <x:c r="E44" t="str">
        <x:v>P3</x:v>
      </x:c>
      <x:c r="F44" t="str">
        <x:v>Review forms, contact routes and mobile interaction states</x:v>
      </x:c>
      <x:c r="G44" t="str">
        <x:v>UX + QA</x:v>
      </x:c>
      <x:c r="H44" t="str">
        <x:v>A-037</x:v>
      </x:c>
      <x:c r="I44" t="str">
        <x:v>7h</x:v>
      </x:c>
      <x:c r="J44" t="str">
        <x:v>Interaction audit completed</x:v>
      </x:c>
      <x:c r="K44" t="str">
        <x:v>analyst</x:v>
      </x:c>
      <x:c r="L44" t="str">
        <x:v>Not started</x:v>
      </x:c>
      <x:c r="M44" t="str">
        <x:v>EV-0001</x:v>
      </x:c>
      <x:c r="N44" s="12" t="n">
        <x:v>1</x:v>
      </x:c>
      <x:c r="O44" t="n">
        <x:f>D44-C44+1</x:f>
        <x:v>1</x:v>
      </x:c>
      <x:c r="P44" t="str">
        <x:v>low</x:v>
      </x:c>
      <x:c r="Q44" t="str">
        <x:v>Advisory only; no external system changes are executed by the studio.</x:v>
      </x:c>
    </x:row>
    <x:row r="45">
      <x:c r="A45" t="str">
        <x:v>A-040</x:v>
      </x:c>
      <x:c r="B45" t="str">
        <x:v>Release</x:v>
      </x:c>
      <x:c r="C45" t="n">
        <x:v>14</x:v>
      </x:c>
      <x:c r="D45" t="n">
        <x:v>14</x:v>
      </x:c>
      <x:c r="E45" t="str">
        <x:v>P1</x:v>
      </x:c>
      <x:c r="F45" t="str">
        <x:v>Implement approved redirects and canonicals in staging only</x:v>
      </x:c>
      <x:c r="G45" t="str">
        <x:v>Engineering</x:v>
      </x:c>
      <x:c r="H45" t="str">
        <x:v>A-008, A-009, A-036</x:v>
      </x:c>
      <x:c r="I45" t="str">
        <x:v>12h</x:v>
      </x:c>
      <x:c r="J45" t="str">
        <x:v>Staging graph validation passes</x:v>
      </x:c>
      <x:c r="K45" t="str">
        <x:v>agency_admin</x:v>
      </x:c>
      <x:c r="L45" t="str">
        <x:v>Not started</x:v>
      </x:c>
      <x:c r="M45" t="str">
        <x:v>EV-0155, EV-0199, EV-0204, EV-0205, EV-0208, EV-0209, EV-0219, EV-0222</x:v>
      </x:c>
      <x:c r="N45" s="12" t="n">
        <x:v>1</x:v>
      </x:c>
      <x:c r="O45" t="n">
        <x:f>D45-C45+1</x:f>
        <x:v>1</x:v>
      </x:c>
      <x:c r="P45" t="str">
        <x:v>high</x:v>
      </x:c>
      <x:c r="Q45" t="str">
        <x:v>Advisory only; no external system changes are executed by the studio.</x:v>
      </x:c>
    </x:row>
    <x:row r="46">
      <x:c r="A46" t="str">
        <x:v>A-041</x:v>
      </x:c>
      <x:c r="B46" t="str">
        <x:v>Release</x:v>
      </x:c>
      <x:c r="C46" t="n">
        <x:v>14</x:v>
      </x:c>
      <x:c r="D46" t="n">
        <x:v>14</x:v>
      </x:c>
      <x:c r="E46" t="str">
        <x:v>P1</x:v>
      </x:c>
      <x:c r="F46" t="str">
        <x:v>Implement approved metadata, headings and internal links</x:v>
      </x:c>
      <x:c r="G46" t="str">
        <x:v>Engineering</x:v>
      </x:c>
      <x:c r="H46" t="str">
        <x:v>A-027, A-036</x:v>
      </x:c>
      <x:c r="I46" t="str">
        <x:v>12h</x:v>
      </x:c>
      <x:c r="J46" t="str">
        <x:v>Staging page QA passes</x:v>
      </x:c>
      <x:c r="K46" t="str">
        <x:v>analyst</x:v>
      </x:c>
      <x:c r="L46" t="str">
        <x:v>Not started</x:v>
      </x:c>
      <x:c r="M46" t="str">
        <x:v>EV-0223, EV-0226, EV-0231, EV-0235, EV-0241, EV-0258, EV-0259, EV-0261</x:v>
      </x:c>
      <x:c r="N46" s="12" t="n">
        <x:v>1</x:v>
      </x:c>
      <x:c r="O46" t="n">
        <x:f>D46-C46+1</x:f>
        <x:v>1</x:v>
      </x:c>
      <x:c r="P46" t="str">
        <x:v>moderate</x:v>
      </x:c>
      <x:c r="Q46" t="str">
        <x:v>Advisory only; no external system changes are executed by the studio.</x:v>
      </x:c>
    </x:row>
    <x:row r="47">
      <x:c r="A47" t="str">
        <x:v>A-042</x:v>
      </x:c>
      <x:c r="B47" t="str">
        <x:v>Release</x:v>
      </x:c>
      <x:c r="C47" t="n">
        <x:v>14</x:v>
      </x:c>
      <x:c r="D47" t="n">
        <x:v>14</x:v>
      </x:c>
      <x:c r="E47" t="str">
        <x:v>P1</x:v>
      </x:c>
      <x:c r="F47" t="str">
        <x:v>Deploy only approved page-specific schema candidates</x:v>
      </x:c>
      <x:c r="G47" t="str">
        <x:v>Engineering</x:v>
      </x:c>
      <x:c r="H47" t="str">
        <x:v>A-015, A-036</x:v>
      </x:c>
      <x:c r="I47" t="str">
        <x:v>8h</x:v>
      </x:c>
      <x:c r="J47" t="str">
        <x:v>Zero unsupported schema properties</x:v>
      </x:c>
      <x:c r="K47" t="str">
        <x:v>agency_admin</x:v>
      </x:c>
      <x:c r="L47" t="str">
        <x:v>Not started</x:v>
      </x:c>
      <x:c r="M47" t="str">
        <x:v>EV-0001</x:v>
      </x:c>
      <x:c r="N47" s="12" t="n">
        <x:v>1</x:v>
      </x:c>
      <x:c r="O47" t="n">
        <x:f>D47-C47+1</x:f>
        <x:v>1</x:v>
      </x:c>
      <x:c r="P47" t="str">
        <x:v>high</x:v>
      </x:c>
      <x:c r="Q47" t="str">
        <x:v>Advisory only; no external system changes are executed by the studio.</x:v>
      </x:c>
    </x:row>
    <x:row r="48">
      <x:c r="A48" t="str">
        <x:v>A-043</x:v>
      </x:c>
      <x:c r="B48" t="str">
        <x:v>Validation</x:v>
      </x:c>
      <x:c r="C48" t="n">
        <x:v>15</x:v>
      </x:c>
      <x:c r="D48" t="n">
        <x:v>15</x:v>
      </x:c>
      <x:c r="E48" t="str">
        <x:v>P1</x:v>
      </x:c>
      <x:c r="F48" t="str">
        <x:v>Re-crawl staging and reconcile every normalized URL</x:v>
      </x:c>
      <x:c r="G48" t="str">
        <x:v>QA</x:v>
      </x:c>
      <x:c r="H48" t="str">
        <x:v>A-040, A-041, A-042</x:v>
      </x:c>
      <x:c r="I48" t="str">
        <x:v>10h</x:v>
      </x:c>
      <x:c r="J48" t="str">
        <x:v>Canonical inventory reconciliation passes</x:v>
      </x:c>
      <x:c r="K48" t="str">
        <x:v>analyst</x:v>
      </x:c>
      <x:c r="L48" t="str">
        <x:v>Not started</x:v>
      </x:c>
      <x:c r="M48" t="str">
        <x:v>EV-0155, EV-0199, EV-0204, EV-0205, EV-0208, EV-0209, EV-0219, EV-0222</x:v>
      </x:c>
      <x:c r="N48" s="12" t="n">
        <x:v>1</x:v>
      </x:c>
      <x:c r="O48" t="n">
        <x:f>D48-C48+1</x:f>
        <x:v>1</x:v>
      </x:c>
      <x:c r="P48" t="str">
        <x:v>moderate</x:v>
      </x:c>
      <x:c r="Q48" t="str">
        <x:v>Advisory only; no external system changes are executed by the studio.</x:v>
      </x:c>
    </x:row>
    <x:row r="49">
      <x:c r="A49" t="str">
        <x:v>A-044</x:v>
      </x:c>
      <x:c r="B49" t="str">
        <x:v>Validation</x:v>
      </x:c>
      <x:c r="C49" t="n">
        <x:v>15</x:v>
      </x:c>
      <x:c r="D49" t="n">
        <x:v>15</x:v>
      </x:c>
      <x:c r="E49" t="str">
        <x:v>P1</x:v>
      </x:c>
      <x:c r="F49" t="str">
        <x:v>Re-run link, redirect, canonical, schema and domain safety gates</x:v>
      </x:c>
      <x:c r="G49" t="str">
        <x:v>QA</x:v>
      </x:c>
      <x:c r="H49" t="str">
        <x:v>A-043</x:v>
      </x:c>
      <x:c r="I49" t="str">
        <x:v>10h</x:v>
      </x:c>
      <x:c r="J49" t="str">
        <x:v>Zero Critical or High QA failures</x:v>
      </x:c>
      <x:c r="K49" t="str">
        <x:v>agency_admin</x:v>
      </x:c>
      <x:c r="L49" t="str">
        <x:v>Not started</x:v>
      </x:c>
      <x:c r="M49" t="str">
        <x:v>EV-0155, EV-0199, EV-0204, EV-0205, EV-0208, EV-0209, EV-0219, EV-0222</x:v>
      </x:c>
      <x:c r="N49" s="12" t="n">
        <x:v>1</x:v>
      </x:c>
      <x:c r="O49" t="n">
        <x:f>D49-C49+1</x:f>
        <x:v>1</x:v>
      </x:c>
      <x:c r="P49" t="str">
        <x:v>moderate</x:v>
      </x:c>
      <x:c r="Q49" t="str">
        <x:v>Advisory only; no external system changes are executed by the studio.</x:v>
      </x:c>
    </x:row>
    <x:row r="50">
      <x:c r="A50" t="str">
        <x:v>A-045</x:v>
      </x:c>
      <x:c r="B50" t="str">
        <x:v>Validation</x:v>
      </x:c>
      <x:c r="C50" t="n">
        <x:v>15</x:v>
      </x:c>
      <x:c r="D50" t="n">
        <x:v>15</x:v>
      </x:c>
      <x:c r="E50" t="str">
        <x:v>P2</x:v>
      </x:c>
      <x:c r="F50" t="str">
        <x:v>Render and inspect XLSX, DOCX, PPTX, PDF and HTML outputs</x:v>
      </x:c>
      <x:c r="G50" t="str">
        <x:v>QA</x:v>
      </x:c>
      <x:c r="H50" t="str">
        <x:v>A-044</x:v>
      </x:c>
      <x:c r="I50" t="str">
        <x:v>8h</x:v>
      </x:c>
      <x:c r="J50" t="str">
        <x:v>All client artifacts open and render</x:v>
      </x:c>
      <x:c r="K50" t="str">
        <x:v>analyst</x:v>
      </x:c>
      <x:c r="L50" t="str">
        <x:v>Not started</x:v>
      </x:c>
      <x:c r="M50" t="str">
        <x:v>EV-0001</x:v>
      </x:c>
      <x:c r="N50" s="12" t="n">
        <x:v>1</x:v>
      </x:c>
      <x:c r="O50" t="n">
        <x:f>D50-C50+1</x:f>
        <x:v>1</x:v>
      </x:c>
      <x:c r="P50" t="str">
        <x:v>low</x:v>
      </x:c>
      <x:c r="Q50" t="str">
        <x:v>Advisory only; no external system changes are executed by the studio.</x:v>
      </x:c>
    </x:row>
    <x:row r="51">
      <x:c r="A51" t="str">
        <x:v>A-046</x:v>
      </x:c>
      <x:c r="B51" t="str">
        <x:v>Approval</x:v>
      </x:c>
      <x:c r="C51" t="n">
        <x:v>16</x:v>
      </x:c>
      <x:c r="D51" t="n">
        <x:v>16</x:v>
      </x:c>
      <x:c r="E51" t="str">
        <x:v>P1</x:v>
      </x:c>
      <x:c r="F51" t="str">
        <x:v>Reconcile UI, workbooks, reports, deck and manifest</x:v>
      </x:c>
      <x:c r="G51" t="str">
        <x:v>QA</x:v>
      </x:c>
      <x:c r="H51" t="str">
        <x:v>A-045</x:v>
      </x:c>
      <x:c r="I51" t="str">
        <x:v>7h</x:v>
      </x:c>
      <x:c r="J51" t="str">
        <x:v>All canonical counts match</x:v>
      </x:c>
      <x:c r="K51" t="str">
        <x:v>analyst</x:v>
      </x:c>
      <x:c r="L51" t="str">
        <x:v>Not started</x:v>
      </x:c>
      <x:c r="M51" t="str">
        <x:v>EV-0001</x:v>
      </x:c>
      <x:c r="N51" s="12" t="n">
        <x:v>1</x:v>
      </x:c>
      <x:c r="O51" t="n">
        <x:f>D51-C51+1</x:f>
        <x:v>1</x:v>
      </x:c>
      <x:c r="P51" t="str">
        <x:v>low</x:v>
      </x:c>
      <x:c r="Q51" t="str">
        <x:v>Advisory only; no external system changes are executed by the studio.</x:v>
      </x:c>
    </x:row>
    <x:row r="52">
      <x:c r="A52" t="str">
        <x:v>A-047</x:v>
      </x:c>
      <x:c r="B52" t="str">
        <x:v>Approval</x:v>
      </x:c>
      <x:c r="C52" t="n">
        <x:v>16</x:v>
      </x:c>
      <x:c r="D52" t="n">
        <x:v>16</x:v>
      </x:c>
      <x:c r="E52" t="str">
        <x:v>P1</x:v>
      </x:c>
      <x:c r="F52" t="str">
        <x:v>Record final agency and client release decisions</x:v>
      </x:c>
      <x:c r="G52" t="str">
        <x:v>Agency admin + client</x:v>
      </x:c>
      <x:c r="H52" t="str">
        <x:v>A-046</x:v>
      </x:c>
      <x:c r="I52" t="str">
        <x:v>4h</x:v>
      </x:c>
      <x:c r="J52" t="str">
        <x:v>Approve or revise decision recorded</x:v>
      </x:c>
      <x:c r="K52" t="str">
        <x:v>agency_admin</x:v>
      </x:c>
      <x:c r="L52" t="str">
        <x:v>Not started</x:v>
      </x:c>
      <x:c r="M52" t="str">
        <x:v>EV-0001</x:v>
      </x:c>
      <x:c r="N52" s="12" t="n">
        <x:v>1</x:v>
      </x:c>
      <x:c r="O52" t="n">
        <x:f>D52-C52+1</x:f>
        <x:v>1</x:v>
      </x:c>
      <x:c r="P52" t="str">
        <x:v>high</x:v>
      </x:c>
      <x:c r="Q52" t="str">
        <x:v>Advisory only; no external system changes are executed by the studio.</x:v>
      </x:c>
    </x:row>
    <x:row r="53">
      <x:c r="A53" t="str">
        <x:v>A-048</x:v>
      </x:c>
      <x:c r="B53" t="str">
        <x:v>Approval</x:v>
      </x:c>
      <x:c r="C53" t="n">
        <x:v>16</x:v>
      </x:c>
      <x:c r="D53" t="n">
        <x:v>16</x:v>
      </x:c>
      <x:c r="E53" t="str">
        <x:v>P2</x:v>
      </x:c>
      <x:c r="F53" t="str">
        <x:v>Archive checksums, restore evidence and post-release monitoring plan</x:v>
      </x:c>
      <x:c r="G53" t="str">
        <x:v>Agency admin</x:v>
      </x:c>
      <x:c r="H53" t="str">
        <x:v>A-047</x:v>
      </x:c>
      <x:c r="I53" t="str">
        <x:v>5h</x:v>
      </x:c>
      <x:c r="J53" t="str">
        <x:v>Recovery and monitoring handoff accepted</x:v>
      </x:c>
      <x:c r="K53" t="str">
        <x:v>agency_admin</x:v>
      </x:c>
      <x:c r="L53" t="str">
        <x:v>Not started</x:v>
      </x:c>
      <x:c r="M53" t="str">
        <x:v>EV-0001</x:v>
      </x:c>
      <x:c r="N53" s="12" t="n">
        <x:v>1</x:v>
      </x:c>
      <x:c r="O53" t="n">
        <x:f>D53-C53+1</x:f>
        <x:v>1</x:v>
      </x:c>
      <x:c r="P53" t="str">
        <x:v>moderate</x:v>
      </x:c>
      <x:c r="Q53" t="str">
        <x:v>Advisory only; no external system changes are executed by the studio.</x:v>
      </x:c>
    </x:row>
  </x:sheetData>
  <x:mergeCells>
    <x:mergeCell ref="A1:Q1"/>
    <x:mergeCell ref="A2:Q2"/>
  </x:mergeCells>
  <x:conditionalFormatting sqref="E6:E53">
    <x:cfRule type="containsText" dxfId="0" priority="1" operator="containsText" text="P1"/>
  </x:conditionalFormatting>
  <x:conditionalFormatting sqref="L6:L53">
    <x:cfRule type="containsText" dxfId="1" priority="2" operator="containsText" text="Complete"/>
  </x:conditionalFormatting>
  <x:dataValidations count="1">
    <x:dataValidation type="list" sqref="L6:L53">
      <x:formula1>"Not started,Ready,In progress,Blocked,Review,Approved,Complete"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7e81caa7640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5" hidden="0" customWidth="1"/>
    <x:col min="3" max="3" width="10" hidden="0" customWidth="1"/>
    <x:col min="4" max="4" width="10" hidden="0" customWidth="1"/>
    <x:col min="5" max="5" width="23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</x:cols>
  <x:sheetData>
    <x:row r="1" ht="34" customHeight="1">
      <x:c r="A1" s="3" t="str">
        <x:v>16-week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Formula-backed schedule derived from canonical week start and end fields.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5">
      <x:c r="A5" s="16" t="str">
        <x:v>ID</x:v>
      </x:c>
      <x:c r="B5" s="16" t="str">
        <x:v>Action</x:v>
      </x:c>
      <x:c r="C5" s="16" t="str">
        <x:v>Start</x:v>
      </x:c>
      <x:c r="D5" s="16" t="str">
        <x:v>End</x:v>
      </x:c>
      <x:c r="E5" s="16" t="str">
        <x:v>Owner</x:v>
      </x:c>
      <x:c r="F5" s="16" t="n">
        <x:v>1</x:v>
      </x:c>
      <x:c r="G5" s="16" t="n">
        <x:v>2</x:v>
      </x:c>
      <x:c r="H5" s="16" t="n">
        <x:v>3</x:v>
      </x:c>
      <x:c r="I5" s="16" t="n">
        <x:v>4</x:v>
      </x:c>
      <x:c r="J5" s="16" t="n">
        <x:v>5</x:v>
      </x:c>
      <x:c r="K5" s="16" t="n">
        <x:v>6</x:v>
      </x:c>
      <x:c r="L5" s="16" t="n">
        <x:v>7</x:v>
      </x:c>
      <x:c r="M5" s="16" t="n">
        <x:v>8</x:v>
      </x:c>
      <x:c r="N5" s="16" t="n">
        <x:v>9</x:v>
      </x:c>
      <x:c r="O5" s="16" t="n">
        <x:v>10</x:v>
      </x:c>
      <x:c r="P5" s="16" t="n">
        <x:v>11</x:v>
      </x:c>
      <x:c r="Q5" s="16" t="n">
        <x:v>12</x:v>
      </x:c>
      <x:c r="R5" s="16" t="n">
        <x:v>13</x:v>
      </x:c>
      <x:c r="S5" s="16" t="n">
        <x:v>14</x:v>
      </x:c>
      <x:c r="T5" s="16" t="n">
        <x:v>15</x:v>
      </x:c>
      <x:c r="U5" s="16" t="n">
        <x:v>16</x:v>
      </x:c>
    </x:row>
    <x:row r="6">
      <x:c r="A6" s="11" t="str">
        <x:v>A-001</x:v>
      </x:c>
      <x:c r="B6" s="11" t="str">
        <x:v>Approve the evidence boundary and unavailable-source register</x:v>
      </x:c>
      <x:c r="C6" s="11" t="n">
        <x:v>1</x:v>
      </x:c>
      <x:c r="D6" s="11" t="n">
        <x:v>1</x:v>
      </x:c>
      <x:c r="E6" s="11" t="str">
        <x:v>Agency admin</x:v>
      </x:c>
      <x:c r="F6" s="17" t="n">
        <x:f>IF(AND(F$5&gt;=$C6,F$5&lt;=$D6),1,0)</x:f>
        <x:v>1</x:v>
      </x:c>
      <x:c r="G6" s="17" t="n">
        <x:f>IF(AND(G$5&gt;=$C6,G$5&lt;=$D6),1,0)</x:f>
        <x:v>0</x:v>
      </x:c>
      <x:c r="H6" s="17" t="n">
        <x:f>IF(AND(H$5&gt;=$C6,H$5&lt;=$D6),1,0)</x:f>
        <x:v>0</x:v>
      </x:c>
      <x:c r="I6" s="17" t="n">
        <x:f>IF(AND(I$5&gt;=$C6,I$5&lt;=$D6),1,0)</x:f>
        <x:v>0</x:v>
      </x:c>
      <x:c r="J6" s="17" t="n">
        <x:f>IF(AND(J$5&gt;=$C6,J$5&lt;=$D6),1,0)</x:f>
        <x:v>0</x:v>
      </x:c>
      <x:c r="K6" s="17" t="n">
        <x:f>IF(AND(K$5&gt;=$C6,K$5&lt;=$D6),1,0)</x:f>
        <x:v>0</x:v>
      </x:c>
      <x:c r="L6" s="17" t="n">
        <x:f>IF(AND(L$5&gt;=$C6,L$5&lt;=$D6),1,0)</x:f>
        <x:v>0</x:v>
      </x:c>
      <x:c r="M6" s="17" t="n">
        <x:f>IF(AND(M$5&gt;=$C6,M$5&lt;=$D6),1,0)</x:f>
        <x:v>0</x:v>
      </x:c>
      <x:c r="N6" s="17" t="n">
        <x:f>IF(AND(N$5&gt;=$C6,N$5&lt;=$D6),1,0)</x:f>
        <x:v>0</x:v>
      </x:c>
      <x:c r="O6" s="17" t="n">
        <x:f>IF(AND(O$5&gt;=$C6,O$5&lt;=$D6),1,0)</x:f>
        <x:v>0</x:v>
      </x:c>
      <x:c r="P6" s="17" t="n">
        <x:f>IF(AND(P$5&gt;=$C6,P$5&lt;=$D6),1,0)</x:f>
        <x:v>0</x:v>
      </x:c>
      <x:c r="Q6" s="17" t="n">
        <x:f>IF(AND(Q$5&gt;=$C6,Q$5&lt;=$D6),1,0)</x:f>
        <x:v>0</x:v>
      </x:c>
      <x:c r="R6" s="17" t="n">
        <x:f>IF(AND(R$5&gt;=$C6,R$5&lt;=$D6),1,0)</x:f>
        <x:v>0</x:v>
      </x:c>
      <x:c r="S6" s="17" t="n">
        <x:f>IF(AND(S$5&gt;=$C6,S$5&lt;=$D6),1,0)</x:f>
        <x:v>0</x:v>
      </x:c>
      <x:c r="T6" s="17" t="n">
        <x:f>IF(AND(T$5&gt;=$C6,T$5&lt;=$D6),1,0)</x:f>
        <x:v>0</x:v>
      </x:c>
      <x:c r="U6" s="17" t="n">
        <x:f>IF(AND(U$5&gt;=$C6,U$5&lt;=$D6),1,0)</x:f>
        <x:v>0</x:v>
      </x:c>
    </x:row>
    <x:row r="7">
      <x:c r="A7" s="11" t="str">
        <x:v>A-002</x:v>
      </x:c>
      <x:c r="B7" s="11" t="str">
        <x:v>Confirm the approved .com.au domain and exclusion rules</x:v>
      </x:c>
      <x:c r="C7" s="11" t="n">
        <x:v>1</x:v>
      </x:c>
      <x:c r="D7" s="11" t="n">
        <x:v>1</x:v>
      </x:c>
      <x:c r="E7" s="11" t="str">
        <x:v>Technical SEO</x:v>
      </x:c>
      <x:c r="F7" s="17" t="n">
        <x:f>IF(AND(F$5&gt;=$C7,F$5&lt;=$D7),1,0)</x:f>
        <x:v>1</x:v>
      </x:c>
      <x:c r="G7" s="17" t="n">
        <x:f>IF(AND(G$5&gt;=$C7,G$5&lt;=$D7),1,0)</x:f>
        <x:v>0</x:v>
      </x:c>
      <x:c r="H7" s="17" t="n">
        <x:f>IF(AND(H$5&gt;=$C7,H$5&lt;=$D7),1,0)</x:f>
        <x:v>0</x:v>
      </x:c>
      <x:c r="I7" s="17" t="n">
        <x:f>IF(AND(I$5&gt;=$C7,I$5&lt;=$D7),1,0)</x:f>
        <x:v>0</x:v>
      </x:c>
      <x:c r="J7" s="17" t="n">
        <x:f>IF(AND(J$5&gt;=$C7,J$5&lt;=$D7),1,0)</x:f>
        <x:v>0</x:v>
      </x:c>
      <x:c r="K7" s="17" t="n">
        <x:f>IF(AND(K$5&gt;=$C7,K$5&lt;=$D7),1,0)</x:f>
        <x:v>0</x:v>
      </x:c>
      <x:c r="L7" s="17" t="n">
        <x:f>IF(AND(L$5&gt;=$C7,L$5&lt;=$D7),1,0)</x:f>
        <x:v>0</x:v>
      </x:c>
      <x:c r="M7" s="17" t="n">
        <x:f>IF(AND(M$5&gt;=$C7,M$5&lt;=$D7),1,0)</x:f>
        <x:v>0</x:v>
      </x:c>
      <x:c r="N7" s="17" t="n">
        <x:f>IF(AND(N$5&gt;=$C7,N$5&lt;=$D7),1,0)</x:f>
        <x:v>0</x:v>
      </x:c>
      <x:c r="O7" s="17" t="n">
        <x:f>IF(AND(O$5&gt;=$C7,O$5&lt;=$D7),1,0)</x:f>
        <x:v>0</x:v>
      </x:c>
      <x:c r="P7" s="17" t="n">
        <x:f>IF(AND(P$5&gt;=$C7,P$5&lt;=$D7),1,0)</x:f>
        <x:v>0</x:v>
      </x:c>
      <x:c r="Q7" s="17" t="n">
        <x:f>IF(AND(Q$5&gt;=$C7,Q$5&lt;=$D7),1,0)</x:f>
        <x:v>0</x:v>
      </x:c>
      <x:c r="R7" s="17" t="n">
        <x:f>IF(AND(R$5&gt;=$C7,R$5&lt;=$D7),1,0)</x:f>
        <x:v>0</x:v>
      </x:c>
      <x:c r="S7" s="17" t="n">
        <x:f>IF(AND(S$5&gt;=$C7,S$5&lt;=$D7),1,0)</x:f>
        <x:v>0</x:v>
      </x:c>
      <x:c r="T7" s="17" t="n">
        <x:f>IF(AND(T$5&gt;=$C7,T$5&lt;=$D7),1,0)</x:f>
        <x:v>0</x:v>
      </x:c>
      <x:c r="U7" s="17" t="n">
        <x:f>IF(AND(U$5&gt;=$C7,U$5&lt;=$D7),1,0)</x:f>
        <x:v>0</x:v>
      </x:c>
    </x:row>
    <x:row r="8">
      <x:c r="A8" s="11" t="str">
        <x:v>A-003</x:v>
      </x:c>
      <x:c r="B8" s="11" t="str">
        <x:v>Reconcile discovered, fetched and normalized URL counts</x:v>
      </x:c>
      <x:c r="C8" s="11" t="n">
        <x:v>1</x:v>
      </x:c>
      <x:c r="D8" s="11" t="n">
        <x:v>1</x:v>
      </x:c>
      <x:c r="E8" s="11" t="str">
        <x:v>Analyst</x:v>
      </x:c>
      <x:c r="F8" s="17" t="n">
        <x:f>IF(AND(F$5&gt;=$C8,F$5&lt;=$D8),1,0)</x:f>
        <x:v>1</x:v>
      </x:c>
      <x:c r="G8" s="17" t="n">
        <x:f>IF(AND(G$5&gt;=$C8,G$5&lt;=$D8),1,0)</x:f>
        <x:v>0</x:v>
      </x:c>
      <x:c r="H8" s="17" t="n">
        <x:f>IF(AND(H$5&gt;=$C8,H$5&lt;=$D8),1,0)</x:f>
        <x:v>0</x:v>
      </x:c>
      <x:c r="I8" s="17" t="n">
        <x:f>IF(AND(I$5&gt;=$C8,I$5&lt;=$D8),1,0)</x:f>
        <x:v>0</x:v>
      </x:c>
      <x:c r="J8" s="17" t="n">
        <x:f>IF(AND(J$5&gt;=$C8,J$5&lt;=$D8),1,0)</x:f>
        <x:v>0</x:v>
      </x:c>
      <x:c r="K8" s="17" t="n">
        <x:f>IF(AND(K$5&gt;=$C8,K$5&lt;=$D8),1,0)</x:f>
        <x:v>0</x:v>
      </x:c>
      <x:c r="L8" s="17" t="n">
        <x:f>IF(AND(L$5&gt;=$C8,L$5&lt;=$D8),1,0)</x:f>
        <x:v>0</x:v>
      </x:c>
      <x:c r="M8" s="17" t="n">
        <x:f>IF(AND(M$5&gt;=$C8,M$5&lt;=$D8),1,0)</x:f>
        <x:v>0</x:v>
      </x:c>
      <x:c r="N8" s="17" t="n">
        <x:f>IF(AND(N$5&gt;=$C8,N$5&lt;=$D8),1,0)</x:f>
        <x:v>0</x:v>
      </x:c>
      <x:c r="O8" s="17" t="n">
        <x:f>IF(AND(O$5&gt;=$C8,O$5&lt;=$D8),1,0)</x:f>
        <x:v>0</x:v>
      </x:c>
      <x:c r="P8" s="17" t="n">
        <x:f>IF(AND(P$5&gt;=$C8,P$5&lt;=$D8),1,0)</x:f>
        <x:v>0</x:v>
      </x:c>
      <x:c r="Q8" s="17" t="n">
        <x:f>IF(AND(Q$5&gt;=$C8,Q$5&lt;=$D8),1,0)</x:f>
        <x:v>0</x:v>
      </x:c>
      <x:c r="R8" s="17" t="n">
        <x:f>IF(AND(R$5&gt;=$C8,R$5&lt;=$D8),1,0)</x:f>
        <x:v>0</x:v>
      </x:c>
      <x:c r="S8" s="17" t="n">
        <x:f>IF(AND(S$5&gt;=$C8,S$5&lt;=$D8),1,0)</x:f>
        <x:v>0</x:v>
      </x:c>
      <x:c r="T8" s="17" t="n">
        <x:f>IF(AND(T$5&gt;=$C8,T$5&lt;=$D8),1,0)</x:f>
        <x:v>0</x:v>
      </x:c>
      <x:c r="U8" s="17" t="n">
        <x:f>IF(AND(U$5&gt;=$C8,U$5&lt;=$D8),1,0)</x:f>
        <x:v>0</x:v>
      </x:c>
    </x:row>
    <x:row r="9">
      <x:c r="A9" s="11" t="str">
        <x:v>A-004</x:v>
      </x:c>
      <x:c r="B9" s="11" t="str">
        <x:v>Connect and validate Google Search Console in staging</x:v>
      </x:c>
      <x:c r="C9" s="11" t="n">
        <x:v>2</x:v>
      </x:c>
      <x:c r="D9" s="11" t="n">
        <x:v>2</x:v>
      </x:c>
      <x:c r="E9" s="11" t="str">
        <x:v>Analyst</x:v>
      </x:c>
      <x:c r="F9" s="17" t="n">
        <x:f>IF(AND(F$5&gt;=$C9,F$5&lt;=$D9),1,0)</x:f>
        <x:v>0</x:v>
      </x:c>
      <x:c r="G9" s="17" t="n">
        <x:f>IF(AND(G$5&gt;=$C9,G$5&lt;=$D9),1,0)</x:f>
        <x:v>1</x:v>
      </x:c>
      <x:c r="H9" s="17" t="n">
        <x:f>IF(AND(H$5&gt;=$C9,H$5&lt;=$D9),1,0)</x:f>
        <x:v>0</x:v>
      </x:c>
      <x:c r="I9" s="17" t="n">
        <x:f>IF(AND(I$5&gt;=$C9,I$5&lt;=$D9),1,0)</x:f>
        <x:v>0</x:v>
      </x:c>
      <x:c r="J9" s="17" t="n">
        <x:f>IF(AND(J$5&gt;=$C9,J$5&lt;=$D9),1,0)</x:f>
        <x:v>0</x:v>
      </x:c>
      <x:c r="K9" s="17" t="n">
        <x:f>IF(AND(K$5&gt;=$C9,K$5&lt;=$D9),1,0)</x:f>
        <x:v>0</x:v>
      </x:c>
      <x:c r="L9" s="17" t="n">
        <x:f>IF(AND(L$5&gt;=$C9,L$5&lt;=$D9),1,0)</x:f>
        <x:v>0</x:v>
      </x:c>
      <x:c r="M9" s="17" t="n">
        <x:f>IF(AND(M$5&gt;=$C9,M$5&lt;=$D9),1,0)</x:f>
        <x:v>0</x:v>
      </x:c>
      <x:c r="N9" s="17" t="n">
        <x:f>IF(AND(N$5&gt;=$C9,N$5&lt;=$D9),1,0)</x:f>
        <x:v>0</x:v>
      </x:c>
      <x:c r="O9" s="17" t="n">
        <x:f>IF(AND(O$5&gt;=$C9,O$5&lt;=$D9),1,0)</x:f>
        <x:v>0</x:v>
      </x:c>
      <x:c r="P9" s="17" t="n">
        <x:f>IF(AND(P$5&gt;=$C9,P$5&lt;=$D9),1,0)</x:f>
        <x:v>0</x:v>
      </x:c>
      <x:c r="Q9" s="17" t="n">
        <x:f>IF(AND(Q$5&gt;=$C9,Q$5&lt;=$D9),1,0)</x:f>
        <x:v>0</x:v>
      </x:c>
      <x:c r="R9" s="17" t="n">
        <x:f>IF(AND(R$5&gt;=$C9,R$5&lt;=$D9),1,0)</x:f>
        <x:v>0</x:v>
      </x:c>
      <x:c r="S9" s="17" t="n">
        <x:f>IF(AND(S$5&gt;=$C9,S$5&lt;=$D9),1,0)</x:f>
        <x:v>0</x:v>
      </x:c>
      <x:c r="T9" s="17" t="n">
        <x:f>IF(AND(T$5&gt;=$C9,T$5&lt;=$D9),1,0)</x:f>
        <x:v>0</x:v>
      </x:c>
      <x:c r="U9" s="17" t="n">
        <x:f>IF(AND(U$5&gt;=$C9,U$5&lt;=$D9),1,0)</x:f>
        <x:v>0</x:v>
      </x:c>
    </x:row>
    <x:row r="10">
      <x:c r="A10" s="11" t="str">
        <x:v>A-005</x:v>
      </x:c>
      <x:c r="B10" s="11" t="str">
        <x:v>Connect and validate GA4 plus conversion definitions</x:v>
      </x:c>
      <x:c r="C10" s="11" t="n">
        <x:v>2</x:v>
      </x:c>
      <x:c r="D10" s="11" t="n">
        <x:v>2</x:v>
      </x:c>
      <x:c r="E10" s="11" t="str">
        <x:v>Analytics</x:v>
      </x:c>
      <x:c r="F10" s="17" t="n">
        <x:f>IF(AND(F$5&gt;=$C10,F$5&lt;=$D10),1,0)</x:f>
        <x:v>0</x:v>
      </x:c>
      <x:c r="G10" s="17" t="n">
        <x:f>IF(AND(G$5&gt;=$C10,G$5&lt;=$D10),1,0)</x:f>
        <x:v>1</x:v>
      </x:c>
      <x:c r="H10" s="17" t="n">
        <x:f>IF(AND(H$5&gt;=$C10,H$5&lt;=$D10),1,0)</x:f>
        <x:v>0</x:v>
      </x:c>
      <x:c r="I10" s="17" t="n">
        <x:f>IF(AND(I$5&gt;=$C10,I$5&lt;=$D10),1,0)</x:f>
        <x:v>0</x:v>
      </x:c>
      <x:c r="J10" s="17" t="n">
        <x:f>IF(AND(J$5&gt;=$C10,J$5&lt;=$D10),1,0)</x:f>
        <x:v>0</x:v>
      </x:c>
      <x:c r="K10" s="17" t="n">
        <x:f>IF(AND(K$5&gt;=$C10,K$5&lt;=$D10),1,0)</x:f>
        <x:v>0</x:v>
      </x:c>
      <x:c r="L10" s="17" t="n">
        <x:f>IF(AND(L$5&gt;=$C10,L$5&lt;=$D10),1,0)</x:f>
        <x:v>0</x:v>
      </x:c>
      <x:c r="M10" s="17" t="n">
        <x:f>IF(AND(M$5&gt;=$C10,M$5&lt;=$D10),1,0)</x:f>
        <x:v>0</x:v>
      </x:c>
      <x:c r="N10" s="17" t="n">
        <x:f>IF(AND(N$5&gt;=$C10,N$5&lt;=$D10),1,0)</x:f>
        <x:v>0</x:v>
      </x:c>
      <x:c r="O10" s="17" t="n">
        <x:f>IF(AND(O$5&gt;=$C10,O$5&lt;=$D10),1,0)</x:f>
        <x:v>0</x:v>
      </x:c>
      <x:c r="P10" s="17" t="n">
        <x:f>IF(AND(P$5&gt;=$C10,P$5&lt;=$D10),1,0)</x:f>
        <x:v>0</x:v>
      </x:c>
      <x:c r="Q10" s="17" t="n">
        <x:f>IF(AND(Q$5&gt;=$C10,Q$5&lt;=$D10),1,0)</x:f>
        <x:v>0</x:v>
      </x:c>
      <x:c r="R10" s="17" t="n">
        <x:f>IF(AND(R$5&gt;=$C10,R$5&lt;=$D10),1,0)</x:f>
        <x:v>0</x:v>
      </x:c>
      <x:c r="S10" s="17" t="n">
        <x:f>IF(AND(S$5&gt;=$C10,S$5&lt;=$D10),1,0)</x:f>
        <x:v>0</x:v>
      </x:c>
      <x:c r="T10" s="17" t="n">
        <x:f>IF(AND(T$5&gt;=$C10,T$5&lt;=$D10),1,0)</x:f>
        <x:v>0</x:v>
      </x:c>
      <x:c r="U10" s="17" t="n">
        <x:f>IF(AND(U$5&gt;=$C10,U$5&lt;=$D10),1,0)</x:f>
        <x:v>0</x:v>
      </x:c>
    </x:row>
    <x:row r="11">
      <x:c r="A11" s="11" t="str">
        <x:v>A-006</x:v>
      </x:c>
      <x:c r="B11" s="11" t="str">
        <x:v>Connect SEMrush and PageSpeed or preserve truthful unavailable states</x:v>
      </x:c>
      <x:c r="C11" s="11" t="n">
        <x:v>2</x:v>
      </x:c>
      <x:c r="D11" s="11" t="n">
        <x:v>2</x:v>
      </x:c>
      <x:c r="E11" s="11" t="str">
        <x:v>Analyst</x:v>
      </x:c>
      <x:c r="F11" s="17" t="n">
        <x:f>IF(AND(F$5&gt;=$C11,F$5&lt;=$D11),1,0)</x:f>
        <x:v>0</x:v>
      </x:c>
      <x:c r="G11" s="17" t="n">
        <x:f>IF(AND(G$5&gt;=$C11,G$5&lt;=$D11),1,0)</x:f>
        <x:v>1</x:v>
      </x:c>
      <x:c r="H11" s="17" t="n">
        <x:f>IF(AND(H$5&gt;=$C11,H$5&lt;=$D11),1,0)</x:f>
        <x:v>0</x:v>
      </x:c>
      <x:c r="I11" s="17" t="n">
        <x:f>IF(AND(I$5&gt;=$C11,I$5&lt;=$D11),1,0)</x:f>
        <x:v>0</x:v>
      </x:c>
      <x:c r="J11" s="17" t="n">
        <x:f>IF(AND(J$5&gt;=$C11,J$5&lt;=$D11),1,0)</x:f>
        <x:v>0</x:v>
      </x:c>
      <x:c r="K11" s="17" t="n">
        <x:f>IF(AND(K$5&gt;=$C11,K$5&lt;=$D11),1,0)</x:f>
        <x:v>0</x:v>
      </x:c>
      <x:c r="L11" s="17" t="n">
        <x:f>IF(AND(L$5&gt;=$C11,L$5&lt;=$D11),1,0)</x:f>
        <x:v>0</x:v>
      </x:c>
      <x:c r="M11" s="17" t="n">
        <x:f>IF(AND(M$5&gt;=$C11,M$5&lt;=$D11),1,0)</x:f>
        <x:v>0</x:v>
      </x:c>
      <x:c r="N11" s="17" t="n">
        <x:f>IF(AND(N$5&gt;=$C11,N$5&lt;=$D11),1,0)</x:f>
        <x:v>0</x:v>
      </x:c>
      <x:c r="O11" s="17" t="n">
        <x:f>IF(AND(O$5&gt;=$C11,O$5&lt;=$D11),1,0)</x:f>
        <x:v>0</x:v>
      </x:c>
      <x:c r="P11" s="17" t="n">
        <x:f>IF(AND(P$5&gt;=$C11,P$5&lt;=$D11),1,0)</x:f>
        <x:v>0</x:v>
      </x:c>
      <x:c r="Q11" s="17" t="n">
        <x:f>IF(AND(Q$5&gt;=$C11,Q$5&lt;=$D11),1,0)</x:f>
        <x:v>0</x:v>
      </x:c>
      <x:c r="R11" s="17" t="n">
        <x:f>IF(AND(R$5&gt;=$C11,R$5&lt;=$D11),1,0)</x:f>
        <x:v>0</x:v>
      </x:c>
      <x:c r="S11" s="17" t="n">
        <x:f>IF(AND(S$5&gt;=$C11,S$5&lt;=$D11),1,0)</x:f>
        <x:v>0</x:v>
      </x:c>
      <x:c r="T11" s="17" t="n">
        <x:f>IF(AND(T$5&gt;=$C11,T$5&lt;=$D11),1,0)</x:f>
        <x:v>0</x:v>
      </x:c>
      <x:c r="U11" s="17" t="n">
        <x:f>IF(AND(U$5&gt;=$C11,U$5&lt;=$D11),1,0)</x:f>
        <x:v>0</x:v>
      </x:c>
    </x:row>
    <x:row r="12">
      <x:c r="A12" s="11" t="str">
        <x:v>A-007</x:v>
      </x:c>
      <x:c r="B12" s="11" t="str">
        <x:v>Validate HTTP status distribution and error-page ownership</x:v>
      </x:c>
      <x:c r="C12" s="11" t="n">
        <x:v>3</x:v>
      </x:c>
      <x:c r="D12" s="11" t="n">
        <x:v>3</x:v>
      </x:c>
      <x:c r="E12" s="11" t="str">
        <x:v>Technical SEO</x:v>
      </x:c>
      <x:c r="F12" s="17" t="n">
        <x:f>IF(AND(F$5&gt;=$C12,F$5&lt;=$D12),1,0)</x:f>
        <x:v>0</x:v>
      </x:c>
      <x:c r="G12" s="17" t="n">
        <x:f>IF(AND(G$5&gt;=$C12,G$5&lt;=$D12),1,0)</x:f>
        <x:v>0</x:v>
      </x:c>
      <x:c r="H12" s="17" t="n">
        <x:f>IF(AND(H$5&gt;=$C12,H$5&lt;=$D12),1,0)</x:f>
        <x:v>1</x:v>
      </x:c>
      <x:c r="I12" s="17" t="n">
        <x:f>IF(AND(I$5&gt;=$C12,I$5&lt;=$D12),1,0)</x:f>
        <x:v>0</x:v>
      </x:c>
      <x:c r="J12" s="17" t="n">
        <x:f>IF(AND(J$5&gt;=$C12,J$5&lt;=$D12),1,0)</x:f>
        <x:v>0</x:v>
      </x:c>
      <x:c r="K12" s="17" t="n">
        <x:f>IF(AND(K$5&gt;=$C12,K$5&lt;=$D12),1,0)</x:f>
        <x:v>0</x:v>
      </x:c>
      <x:c r="L12" s="17" t="n">
        <x:f>IF(AND(L$5&gt;=$C12,L$5&lt;=$D12),1,0)</x:f>
        <x:v>0</x:v>
      </x:c>
      <x:c r="M12" s="17" t="n">
        <x:f>IF(AND(M$5&gt;=$C12,M$5&lt;=$D12),1,0)</x:f>
        <x:v>0</x:v>
      </x:c>
      <x:c r="N12" s="17" t="n">
        <x:f>IF(AND(N$5&gt;=$C12,N$5&lt;=$D12),1,0)</x:f>
        <x:v>0</x:v>
      </x:c>
      <x:c r="O12" s="17" t="n">
        <x:f>IF(AND(O$5&gt;=$C12,O$5&lt;=$D12),1,0)</x:f>
        <x:v>0</x:v>
      </x:c>
      <x:c r="P12" s="17" t="n">
        <x:f>IF(AND(P$5&gt;=$C12,P$5&lt;=$D12),1,0)</x:f>
        <x:v>0</x:v>
      </x:c>
      <x:c r="Q12" s="17" t="n">
        <x:f>IF(AND(Q$5&gt;=$C12,Q$5&lt;=$D12),1,0)</x:f>
        <x:v>0</x:v>
      </x:c>
      <x:c r="R12" s="17" t="n">
        <x:f>IF(AND(R$5&gt;=$C12,R$5&lt;=$D12),1,0)</x:f>
        <x:v>0</x:v>
      </x:c>
      <x:c r="S12" s="17" t="n">
        <x:f>IF(AND(S$5&gt;=$C12,S$5&lt;=$D12),1,0)</x:f>
        <x:v>0</x:v>
      </x:c>
      <x:c r="T12" s="17" t="n">
        <x:f>IF(AND(T$5&gt;=$C12,T$5&lt;=$D12),1,0)</x:f>
        <x:v>0</x:v>
      </x:c>
      <x:c r="U12" s="17" t="n">
        <x:f>IF(AND(U$5&gt;=$C12,U$5&lt;=$D12),1,0)</x:f>
        <x:v>0</x:v>
      </x:c>
    </x:row>
    <x:row r="13">
      <x:c r="A13" s="11" t="str">
        <x:v>A-008</x:v>
      </x:c>
      <x:c r="B13" s="11" t="str">
        <x:v>Validate redirect chains and reject redirect loops</x:v>
      </x:c>
      <x:c r="C13" s="11" t="n">
        <x:v>3</x:v>
      </x:c>
      <x:c r="D13" s="11" t="n">
        <x:v>3</x:v>
      </x:c>
      <x:c r="E13" s="11" t="str">
        <x:v>Engineering</x:v>
      </x:c>
      <x:c r="F13" s="17" t="n">
        <x:f>IF(AND(F$5&gt;=$C13,F$5&lt;=$D13),1,0)</x:f>
        <x:v>0</x:v>
      </x:c>
      <x:c r="G13" s="17" t="n">
        <x:f>IF(AND(G$5&gt;=$C13,G$5&lt;=$D13),1,0)</x:f>
        <x:v>0</x:v>
      </x:c>
      <x:c r="H13" s="17" t="n">
        <x:f>IF(AND(H$5&gt;=$C13,H$5&lt;=$D13),1,0)</x:f>
        <x:v>1</x:v>
      </x:c>
      <x:c r="I13" s="17" t="n">
        <x:f>IF(AND(I$5&gt;=$C13,I$5&lt;=$D13),1,0)</x:f>
        <x:v>0</x:v>
      </x:c>
      <x:c r="J13" s="17" t="n">
        <x:f>IF(AND(J$5&gt;=$C13,J$5&lt;=$D13),1,0)</x:f>
        <x:v>0</x:v>
      </x:c>
      <x:c r="K13" s="17" t="n">
        <x:f>IF(AND(K$5&gt;=$C13,K$5&lt;=$D13),1,0)</x:f>
        <x:v>0</x:v>
      </x:c>
      <x:c r="L13" s="17" t="n">
        <x:f>IF(AND(L$5&gt;=$C13,L$5&lt;=$D13),1,0)</x:f>
        <x:v>0</x:v>
      </x:c>
      <x:c r="M13" s="17" t="n">
        <x:f>IF(AND(M$5&gt;=$C13,M$5&lt;=$D13),1,0)</x:f>
        <x:v>0</x:v>
      </x:c>
      <x:c r="N13" s="17" t="n">
        <x:f>IF(AND(N$5&gt;=$C13,N$5&lt;=$D13),1,0)</x:f>
        <x:v>0</x:v>
      </x:c>
      <x:c r="O13" s="17" t="n">
        <x:f>IF(AND(O$5&gt;=$C13,O$5&lt;=$D13),1,0)</x:f>
        <x:v>0</x:v>
      </x:c>
      <x:c r="P13" s="17" t="n">
        <x:f>IF(AND(P$5&gt;=$C13,P$5&lt;=$D13),1,0)</x:f>
        <x:v>0</x:v>
      </x:c>
      <x:c r="Q13" s="17" t="n">
        <x:f>IF(AND(Q$5&gt;=$C13,Q$5&lt;=$D13),1,0)</x:f>
        <x:v>0</x:v>
      </x:c>
      <x:c r="R13" s="17" t="n">
        <x:f>IF(AND(R$5&gt;=$C13,R$5&lt;=$D13),1,0)</x:f>
        <x:v>0</x:v>
      </x:c>
      <x:c r="S13" s="17" t="n">
        <x:f>IF(AND(S$5&gt;=$C13,S$5&lt;=$D13),1,0)</x:f>
        <x:v>0</x:v>
      </x:c>
      <x:c r="T13" s="17" t="n">
        <x:f>IF(AND(T$5&gt;=$C13,T$5&lt;=$D13),1,0)</x:f>
        <x:v>0</x:v>
      </x:c>
      <x:c r="U13" s="17" t="n">
        <x:f>IF(AND(U$5&gt;=$C13,U$5&lt;=$D13),1,0)</x:f>
        <x:v>0</x:v>
      </x:c>
    </x:row>
    <x:row r="14">
      <x:c r="A14" s="11" t="str">
        <x:v>A-009</x:v>
      </x:c>
      <x:c r="B14" s="11" t="str">
        <x:v>Validate canonical graph targets against approved-domain pages</x:v>
      </x:c>
      <x:c r="C14" s="11" t="n">
        <x:v>3</x:v>
      </x:c>
      <x:c r="D14" s="11" t="n">
        <x:v>3</x:v>
      </x:c>
      <x:c r="E14" s="11" t="str">
        <x:v>Technical SEO</x:v>
      </x:c>
      <x:c r="F14" s="17" t="n">
        <x:f>IF(AND(F$5&gt;=$C14,F$5&lt;=$D14),1,0)</x:f>
        <x:v>0</x:v>
      </x:c>
      <x:c r="G14" s="17" t="n">
        <x:f>IF(AND(G$5&gt;=$C14,G$5&lt;=$D14),1,0)</x:f>
        <x:v>0</x:v>
      </x:c>
      <x:c r="H14" s="17" t="n">
        <x:f>IF(AND(H$5&gt;=$C14,H$5&lt;=$D14),1,0)</x:f>
        <x:v>1</x:v>
      </x:c>
      <x:c r="I14" s="17" t="n">
        <x:f>IF(AND(I$5&gt;=$C14,I$5&lt;=$D14),1,0)</x:f>
        <x:v>0</x:v>
      </x:c>
      <x:c r="J14" s="17" t="n">
        <x:f>IF(AND(J$5&gt;=$C14,J$5&lt;=$D14),1,0)</x:f>
        <x:v>0</x:v>
      </x:c>
      <x:c r="K14" s="17" t="n">
        <x:f>IF(AND(K$5&gt;=$C14,K$5&lt;=$D14),1,0)</x:f>
        <x:v>0</x:v>
      </x:c>
      <x:c r="L14" s="17" t="n">
        <x:f>IF(AND(L$5&gt;=$C14,L$5&lt;=$D14),1,0)</x:f>
        <x:v>0</x:v>
      </x:c>
      <x:c r="M14" s="17" t="n">
        <x:f>IF(AND(M$5&gt;=$C14,M$5&lt;=$D14),1,0)</x:f>
        <x:v>0</x:v>
      </x:c>
      <x:c r="N14" s="17" t="n">
        <x:f>IF(AND(N$5&gt;=$C14,N$5&lt;=$D14),1,0)</x:f>
        <x:v>0</x:v>
      </x:c>
      <x:c r="O14" s="17" t="n">
        <x:f>IF(AND(O$5&gt;=$C14,O$5&lt;=$D14),1,0)</x:f>
        <x:v>0</x:v>
      </x:c>
      <x:c r="P14" s="17" t="n">
        <x:f>IF(AND(P$5&gt;=$C14,P$5&lt;=$D14),1,0)</x:f>
        <x:v>0</x:v>
      </x:c>
      <x:c r="Q14" s="17" t="n">
        <x:f>IF(AND(Q$5&gt;=$C14,Q$5&lt;=$D14),1,0)</x:f>
        <x:v>0</x:v>
      </x:c>
      <x:c r="R14" s="17" t="n">
        <x:f>IF(AND(R$5&gt;=$C14,R$5&lt;=$D14),1,0)</x:f>
        <x:v>0</x:v>
      </x:c>
      <x:c r="S14" s="17" t="n">
        <x:f>IF(AND(S$5&gt;=$C14,S$5&lt;=$D14),1,0)</x:f>
        <x:v>0</x:v>
      </x:c>
      <x:c r="T14" s="17" t="n">
        <x:f>IF(AND(T$5&gt;=$C14,T$5&lt;=$D14),1,0)</x:f>
        <x:v>0</x:v>
      </x:c>
      <x:c r="U14" s="17" t="n">
        <x:f>IF(AND(U$5&gt;=$C14,U$5&lt;=$D14),1,0)</x:f>
        <x:v>0</x:v>
      </x:c>
    </x:row>
    <x:row r="15">
      <x:c r="A15" s="11" t="str">
        <x:v>A-010</x:v>
      </x:c>
      <x:c r="B15" s="11" t="str">
        <x:v>Resolve missing or weak title tags on priority templates</x:v>
      </x:c>
      <x:c r="C15" s="11" t="n">
        <x:v>4</x:v>
      </x:c>
      <x:c r="D15" s="11" t="n">
        <x:v>4</x:v>
      </x:c>
      <x:c r="E15" s="11" t="str">
        <x:v>SEO + Content</x:v>
      </x:c>
      <x:c r="F15" s="17" t="n">
        <x:f>IF(AND(F$5&gt;=$C15,F$5&lt;=$D15),1,0)</x:f>
        <x:v>0</x:v>
      </x:c>
      <x:c r="G15" s="17" t="n">
        <x:f>IF(AND(G$5&gt;=$C15,G$5&lt;=$D15),1,0)</x:f>
        <x:v>0</x:v>
      </x:c>
      <x:c r="H15" s="17" t="n">
        <x:f>IF(AND(H$5&gt;=$C15,H$5&lt;=$D15),1,0)</x:f>
        <x:v>0</x:v>
      </x:c>
      <x:c r="I15" s="17" t="n">
        <x:f>IF(AND(I$5&gt;=$C15,I$5&lt;=$D15),1,0)</x:f>
        <x:v>1</x:v>
      </x:c>
      <x:c r="J15" s="17" t="n">
        <x:f>IF(AND(J$5&gt;=$C15,J$5&lt;=$D15),1,0)</x:f>
        <x:v>0</x:v>
      </x:c>
      <x:c r="K15" s="17" t="n">
        <x:f>IF(AND(K$5&gt;=$C15,K$5&lt;=$D15),1,0)</x:f>
        <x:v>0</x:v>
      </x:c>
      <x:c r="L15" s="17" t="n">
        <x:f>IF(AND(L$5&gt;=$C15,L$5&lt;=$D15),1,0)</x:f>
        <x:v>0</x:v>
      </x:c>
      <x:c r="M15" s="17" t="n">
        <x:f>IF(AND(M$5&gt;=$C15,M$5&lt;=$D15),1,0)</x:f>
        <x:v>0</x:v>
      </x:c>
      <x:c r="N15" s="17" t="n">
        <x:f>IF(AND(N$5&gt;=$C15,N$5&lt;=$D15),1,0)</x:f>
        <x:v>0</x:v>
      </x:c>
      <x:c r="O15" s="17" t="n">
        <x:f>IF(AND(O$5&gt;=$C15,O$5&lt;=$D15),1,0)</x:f>
        <x:v>0</x:v>
      </x:c>
      <x:c r="P15" s="17" t="n">
        <x:f>IF(AND(P$5&gt;=$C15,P$5&lt;=$D15),1,0)</x:f>
        <x:v>0</x:v>
      </x:c>
      <x:c r="Q15" s="17" t="n">
        <x:f>IF(AND(Q$5&gt;=$C15,Q$5&lt;=$D15),1,0)</x:f>
        <x:v>0</x:v>
      </x:c>
      <x:c r="R15" s="17" t="n">
        <x:f>IF(AND(R$5&gt;=$C15,R$5&lt;=$D15),1,0)</x:f>
        <x:v>0</x:v>
      </x:c>
      <x:c r="S15" s="17" t="n">
        <x:f>IF(AND(S$5&gt;=$C15,S$5&lt;=$D15),1,0)</x:f>
        <x:v>0</x:v>
      </x:c>
      <x:c r="T15" s="17" t="n">
        <x:f>IF(AND(T$5&gt;=$C15,T$5&lt;=$D15),1,0)</x:f>
        <x:v>0</x:v>
      </x:c>
      <x:c r="U15" s="17" t="n">
        <x:f>IF(AND(U$5&gt;=$C15,U$5&lt;=$D15),1,0)</x:f>
        <x:v>0</x:v>
      </x:c>
    </x:row>
    <x:row r="16">
      <x:c r="A16" s="11" t="str">
        <x:v>A-011</x:v>
      </x:c>
      <x:c r="B16" s="11" t="str">
        <x:v>Resolve missing meta descriptions on priority templates</x:v>
      </x:c>
      <x:c r="C16" s="11" t="n">
        <x:v>4</x:v>
      </x:c>
      <x:c r="D16" s="11" t="n">
        <x:v>4</x:v>
      </x:c>
      <x:c r="E16" s="11" t="str">
        <x:v>SEO + Content</x:v>
      </x:c>
      <x:c r="F16" s="17" t="n">
        <x:f>IF(AND(F$5&gt;=$C16,F$5&lt;=$D16),1,0)</x:f>
        <x:v>0</x:v>
      </x:c>
      <x:c r="G16" s="17" t="n">
        <x:f>IF(AND(G$5&gt;=$C16,G$5&lt;=$D16),1,0)</x:f>
        <x:v>0</x:v>
      </x:c>
      <x:c r="H16" s="17" t="n">
        <x:f>IF(AND(H$5&gt;=$C16,H$5&lt;=$D16),1,0)</x:f>
        <x:v>0</x:v>
      </x:c>
      <x:c r="I16" s="17" t="n">
        <x:f>IF(AND(I$5&gt;=$C16,I$5&lt;=$D16),1,0)</x:f>
        <x:v>1</x:v>
      </x:c>
      <x:c r="J16" s="17" t="n">
        <x:f>IF(AND(J$5&gt;=$C16,J$5&lt;=$D16),1,0)</x:f>
        <x:v>0</x:v>
      </x:c>
      <x:c r="K16" s="17" t="n">
        <x:f>IF(AND(K$5&gt;=$C16,K$5&lt;=$D16),1,0)</x:f>
        <x:v>0</x:v>
      </x:c>
      <x:c r="L16" s="17" t="n">
        <x:f>IF(AND(L$5&gt;=$C16,L$5&lt;=$D16),1,0)</x:f>
        <x:v>0</x:v>
      </x:c>
      <x:c r="M16" s="17" t="n">
        <x:f>IF(AND(M$5&gt;=$C16,M$5&lt;=$D16),1,0)</x:f>
        <x:v>0</x:v>
      </x:c>
      <x:c r="N16" s="17" t="n">
        <x:f>IF(AND(N$5&gt;=$C16,N$5&lt;=$D16),1,0)</x:f>
        <x:v>0</x:v>
      </x:c>
      <x:c r="O16" s="17" t="n">
        <x:f>IF(AND(O$5&gt;=$C16,O$5&lt;=$D16),1,0)</x:f>
        <x:v>0</x:v>
      </x:c>
      <x:c r="P16" s="17" t="n">
        <x:f>IF(AND(P$5&gt;=$C16,P$5&lt;=$D16),1,0)</x:f>
        <x:v>0</x:v>
      </x:c>
      <x:c r="Q16" s="17" t="n">
        <x:f>IF(AND(Q$5&gt;=$C16,Q$5&lt;=$D16),1,0)</x:f>
        <x:v>0</x:v>
      </x:c>
      <x:c r="R16" s="17" t="n">
        <x:f>IF(AND(R$5&gt;=$C16,R$5&lt;=$D16),1,0)</x:f>
        <x:v>0</x:v>
      </x:c>
      <x:c r="S16" s="17" t="n">
        <x:f>IF(AND(S$5&gt;=$C16,S$5&lt;=$D16),1,0)</x:f>
        <x:v>0</x:v>
      </x:c>
      <x:c r="T16" s="17" t="n">
        <x:f>IF(AND(T$5&gt;=$C16,T$5&lt;=$D16),1,0)</x:f>
        <x:v>0</x:v>
      </x:c>
      <x:c r="U16" s="17" t="n">
        <x:f>IF(AND(U$5&gt;=$C16,U$5&lt;=$D16),1,0)</x:f>
        <x:v>0</x:v>
      </x:c>
    </x:row>
    <x:row r="17">
      <x:c r="A17" s="11" t="str">
        <x:v>A-012</x:v>
      </x:c>
      <x:c r="B17" s="11" t="str">
        <x:v>Resolve missing, multiple or duplicated H1 patterns</x:v>
      </x:c>
      <x:c r="C17" s="11" t="n">
        <x:v>4</x:v>
      </x:c>
      <x:c r="D17" s="11" t="n">
        <x:v>4</x:v>
      </x:c>
      <x:c r="E17" s="11" t="str">
        <x:v>SEO + Engineering</x:v>
      </x:c>
      <x:c r="F17" s="17" t="n">
        <x:f>IF(AND(F$5&gt;=$C17,F$5&lt;=$D17),1,0)</x:f>
        <x:v>0</x:v>
      </x:c>
      <x:c r="G17" s="17" t="n">
        <x:f>IF(AND(G$5&gt;=$C17,G$5&lt;=$D17),1,0)</x:f>
        <x:v>0</x:v>
      </x:c>
      <x:c r="H17" s="17" t="n">
        <x:f>IF(AND(H$5&gt;=$C17,H$5&lt;=$D17),1,0)</x:f>
        <x:v>0</x:v>
      </x:c>
      <x:c r="I17" s="17" t="n">
        <x:f>IF(AND(I$5&gt;=$C17,I$5&lt;=$D17),1,0)</x:f>
        <x:v>1</x:v>
      </x:c>
      <x:c r="J17" s="17" t="n">
        <x:f>IF(AND(J$5&gt;=$C17,J$5&lt;=$D17),1,0)</x:f>
        <x:v>0</x:v>
      </x:c>
      <x:c r="K17" s="17" t="n">
        <x:f>IF(AND(K$5&gt;=$C17,K$5&lt;=$D17),1,0)</x:f>
        <x:v>0</x:v>
      </x:c>
      <x:c r="L17" s="17" t="n">
        <x:f>IF(AND(L$5&gt;=$C17,L$5&lt;=$D17),1,0)</x:f>
        <x:v>0</x:v>
      </x:c>
      <x:c r="M17" s="17" t="n">
        <x:f>IF(AND(M$5&gt;=$C17,M$5&lt;=$D17),1,0)</x:f>
        <x:v>0</x:v>
      </x:c>
      <x:c r="N17" s="17" t="n">
        <x:f>IF(AND(N$5&gt;=$C17,N$5&lt;=$D17),1,0)</x:f>
        <x:v>0</x:v>
      </x:c>
      <x:c r="O17" s="17" t="n">
        <x:f>IF(AND(O$5&gt;=$C17,O$5&lt;=$D17),1,0)</x:f>
        <x:v>0</x:v>
      </x:c>
      <x:c r="P17" s="17" t="n">
        <x:f>IF(AND(P$5&gt;=$C17,P$5&lt;=$D17),1,0)</x:f>
        <x:v>0</x:v>
      </x:c>
      <x:c r="Q17" s="17" t="n">
        <x:f>IF(AND(Q$5&gt;=$C17,Q$5&lt;=$D17),1,0)</x:f>
        <x:v>0</x:v>
      </x:c>
      <x:c r="R17" s="17" t="n">
        <x:f>IF(AND(R$5&gt;=$C17,R$5&lt;=$D17),1,0)</x:f>
        <x:v>0</x:v>
      </x:c>
      <x:c r="S17" s="17" t="n">
        <x:f>IF(AND(S$5&gt;=$C17,S$5&lt;=$D17),1,0)</x:f>
        <x:v>0</x:v>
      </x:c>
      <x:c r="T17" s="17" t="n">
        <x:f>IF(AND(T$5&gt;=$C17,T$5&lt;=$D17),1,0)</x:f>
        <x:v>0</x:v>
      </x:c>
      <x:c r="U17" s="17" t="n">
        <x:f>IF(AND(U$5&gt;=$C17,U$5&lt;=$D17),1,0)</x:f>
        <x:v>0</x:v>
      </x:c>
    </x:row>
    <x:row r="18">
      <x:c r="A18" s="11" t="str">
        <x:v>A-013</x:v>
      </x:c>
      <x:c r="B18" s="11" t="str">
        <x:v>Review product template indexability, titles and canonical behavior</x:v>
      </x:c>
      <x:c r="C18" s="11" t="n">
        <x:v>5</x:v>
      </x:c>
      <x:c r="D18" s="11" t="n">
        <x:v>5</x:v>
      </x:c>
      <x:c r="E18" s="11" t="str">
        <x:v>Technical SEO</x:v>
      </x:c>
      <x:c r="F18" s="17" t="n">
        <x:f>IF(AND(F$5&gt;=$C18,F$5&lt;=$D18),1,0)</x:f>
        <x:v>0</x:v>
      </x:c>
      <x:c r="G18" s="17" t="n">
        <x:f>IF(AND(G$5&gt;=$C18,G$5&lt;=$D18),1,0)</x:f>
        <x:v>0</x:v>
      </x:c>
      <x:c r="H18" s="17" t="n">
        <x:f>IF(AND(H$5&gt;=$C18,H$5&lt;=$D18),1,0)</x:f>
        <x:v>0</x:v>
      </x:c>
      <x:c r="I18" s="17" t="n">
        <x:f>IF(AND(I$5&gt;=$C18,I$5&lt;=$D18),1,0)</x:f>
        <x:v>0</x:v>
      </x:c>
      <x:c r="J18" s="17" t="n">
        <x:f>IF(AND(J$5&gt;=$C18,J$5&lt;=$D18),1,0)</x:f>
        <x:v>1</x:v>
      </x:c>
      <x:c r="K18" s="17" t="n">
        <x:f>IF(AND(K$5&gt;=$C18,K$5&lt;=$D18),1,0)</x:f>
        <x:v>0</x:v>
      </x:c>
      <x:c r="L18" s="17" t="n">
        <x:f>IF(AND(L$5&gt;=$C18,L$5&lt;=$D18),1,0)</x:f>
        <x:v>0</x:v>
      </x:c>
      <x:c r="M18" s="17" t="n">
        <x:f>IF(AND(M$5&gt;=$C18,M$5&lt;=$D18),1,0)</x:f>
        <x:v>0</x:v>
      </x:c>
      <x:c r="N18" s="17" t="n">
        <x:f>IF(AND(N$5&gt;=$C18,N$5&lt;=$D18),1,0)</x:f>
        <x:v>0</x:v>
      </x:c>
      <x:c r="O18" s="17" t="n">
        <x:f>IF(AND(O$5&gt;=$C18,O$5&lt;=$D18),1,0)</x:f>
        <x:v>0</x:v>
      </x:c>
      <x:c r="P18" s="17" t="n">
        <x:f>IF(AND(P$5&gt;=$C18,P$5&lt;=$D18),1,0)</x:f>
        <x:v>0</x:v>
      </x:c>
      <x:c r="Q18" s="17" t="n">
        <x:f>IF(AND(Q$5&gt;=$C18,Q$5&lt;=$D18),1,0)</x:f>
        <x:v>0</x:v>
      </x:c>
      <x:c r="R18" s="17" t="n">
        <x:f>IF(AND(R$5&gt;=$C18,R$5&lt;=$D18),1,0)</x:f>
        <x:v>0</x:v>
      </x:c>
      <x:c r="S18" s="17" t="n">
        <x:f>IF(AND(S$5&gt;=$C18,S$5&lt;=$D18),1,0)</x:f>
        <x:v>0</x:v>
      </x:c>
      <x:c r="T18" s="17" t="n">
        <x:f>IF(AND(T$5&gt;=$C18,T$5&lt;=$D18),1,0)</x:f>
        <x:v>0</x:v>
      </x:c>
      <x:c r="U18" s="17" t="n">
        <x:f>IF(AND(U$5&gt;=$C18,U$5&lt;=$D18),1,0)</x:f>
        <x:v>0</x:v>
      </x:c>
    </x:row>
    <x:row r="19">
      <x:c r="A19" s="11" t="str">
        <x:v>A-014</x:v>
      </x:c>
      <x:c r="B19" s="11" t="str">
        <x:v>Review collection pagination and duplicate-route behavior</x:v>
      </x:c>
      <x:c r="C19" s="11" t="n">
        <x:v>5</x:v>
      </x:c>
      <x:c r="D19" s="11" t="n">
        <x:v>5</x:v>
      </x:c>
      <x:c r="E19" s="11" t="str">
        <x:v>Technical SEO</x:v>
      </x:c>
      <x:c r="F19" s="17" t="n">
        <x:f>IF(AND(F$5&gt;=$C19,F$5&lt;=$D19),1,0)</x:f>
        <x:v>0</x:v>
      </x:c>
      <x:c r="G19" s="17" t="n">
        <x:f>IF(AND(G$5&gt;=$C19,G$5&lt;=$D19),1,0)</x:f>
        <x:v>0</x:v>
      </x:c>
      <x:c r="H19" s="17" t="n">
        <x:f>IF(AND(H$5&gt;=$C19,H$5&lt;=$D19),1,0)</x:f>
        <x:v>0</x:v>
      </x:c>
      <x:c r="I19" s="17" t="n">
        <x:f>IF(AND(I$5&gt;=$C19,I$5&lt;=$D19),1,0)</x:f>
        <x:v>0</x:v>
      </x:c>
      <x:c r="J19" s="17" t="n">
        <x:f>IF(AND(J$5&gt;=$C19,J$5&lt;=$D19),1,0)</x:f>
        <x:v>1</x:v>
      </x:c>
      <x:c r="K19" s="17" t="n">
        <x:f>IF(AND(K$5&gt;=$C19,K$5&lt;=$D19),1,0)</x:f>
        <x:v>0</x:v>
      </x:c>
      <x:c r="L19" s="17" t="n">
        <x:f>IF(AND(L$5&gt;=$C19,L$5&lt;=$D19),1,0)</x:f>
        <x:v>0</x:v>
      </x:c>
      <x:c r="M19" s="17" t="n">
        <x:f>IF(AND(M$5&gt;=$C19,M$5&lt;=$D19),1,0)</x:f>
        <x:v>0</x:v>
      </x:c>
      <x:c r="N19" s="17" t="n">
        <x:f>IF(AND(N$5&gt;=$C19,N$5&lt;=$D19),1,0)</x:f>
        <x:v>0</x:v>
      </x:c>
      <x:c r="O19" s="17" t="n">
        <x:f>IF(AND(O$5&gt;=$C19,O$5&lt;=$D19),1,0)</x:f>
        <x:v>0</x:v>
      </x:c>
      <x:c r="P19" s="17" t="n">
        <x:f>IF(AND(P$5&gt;=$C19,P$5&lt;=$D19),1,0)</x:f>
        <x:v>0</x:v>
      </x:c>
      <x:c r="Q19" s="17" t="n">
        <x:f>IF(AND(Q$5&gt;=$C19,Q$5&lt;=$D19),1,0)</x:f>
        <x:v>0</x:v>
      </x:c>
      <x:c r="R19" s="17" t="n">
        <x:f>IF(AND(R$5&gt;=$C19,R$5&lt;=$D19),1,0)</x:f>
        <x:v>0</x:v>
      </x:c>
      <x:c r="S19" s="17" t="n">
        <x:f>IF(AND(S$5&gt;=$C19,S$5&lt;=$D19),1,0)</x:f>
        <x:v>0</x:v>
      </x:c>
      <x:c r="T19" s="17" t="n">
        <x:f>IF(AND(T$5&gt;=$C19,T$5&lt;=$D19),1,0)</x:f>
        <x:v>0</x:v>
      </x:c>
      <x:c r="U19" s="17" t="n">
        <x:f>IF(AND(U$5&gt;=$C19,U$5&lt;=$D19),1,0)</x:f>
        <x:v>0</x:v>
      </x:c>
    </x:row>
    <x:row r="20">
      <x:c r="A20" s="11" t="str">
        <x:v>A-015</x:v>
      </x:c>
      <x:c r="B20" s="11" t="str">
        <x:v>Create a verified fact pack before proposing Product schema</x:v>
      </x:c>
      <x:c r="C20" s="11" t="n">
        <x:v>5</x:v>
      </x:c>
      <x:c r="D20" s="11" t="n">
        <x:v>5</x:v>
      </x:c>
      <x:c r="E20" s="11" t="str">
        <x:v>SEO + Merchandising</x:v>
      </x:c>
      <x:c r="F20" s="17" t="n">
        <x:f>IF(AND(F$5&gt;=$C20,F$5&lt;=$D20),1,0)</x:f>
        <x:v>0</x:v>
      </x:c>
      <x:c r="G20" s="17" t="n">
        <x:f>IF(AND(G$5&gt;=$C20,G$5&lt;=$D20),1,0)</x:f>
        <x:v>0</x:v>
      </x:c>
      <x:c r="H20" s="17" t="n">
        <x:f>IF(AND(H$5&gt;=$C20,H$5&lt;=$D20),1,0)</x:f>
        <x:v>0</x:v>
      </x:c>
      <x:c r="I20" s="17" t="n">
        <x:f>IF(AND(I$5&gt;=$C20,I$5&lt;=$D20),1,0)</x:f>
        <x:v>0</x:v>
      </x:c>
      <x:c r="J20" s="17" t="n">
        <x:f>IF(AND(J$5&gt;=$C20,J$5&lt;=$D20),1,0)</x:f>
        <x:v>1</x:v>
      </x:c>
      <x:c r="K20" s="17" t="n">
        <x:f>IF(AND(K$5&gt;=$C20,K$5&lt;=$D20),1,0)</x:f>
        <x:v>0</x:v>
      </x:c>
      <x:c r="L20" s="17" t="n">
        <x:f>IF(AND(L$5&gt;=$C20,L$5&lt;=$D20),1,0)</x:f>
        <x:v>0</x:v>
      </x:c>
      <x:c r="M20" s="17" t="n">
        <x:f>IF(AND(M$5&gt;=$C20,M$5&lt;=$D20),1,0)</x:f>
        <x:v>0</x:v>
      </x:c>
      <x:c r="N20" s="17" t="n">
        <x:f>IF(AND(N$5&gt;=$C20,N$5&lt;=$D20),1,0)</x:f>
        <x:v>0</x:v>
      </x:c>
      <x:c r="O20" s="17" t="n">
        <x:f>IF(AND(O$5&gt;=$C20,O$5&lt;=$D20),1,0)</x:f>
        <x:v>0</x:v>
      </x:c>
      <x:c r="P20" s="17" t="n">
        <x:f>IF(AND(P$5&gt;=$C20,P$5&lt;=$D20),1,0)</x:f>
        <x:v>0</x:v>
      </x:c>
      <x:c r="Q20" s="17" t="n">
        <x:f>IF(AND(Q$5&gt;=$C20,Q$5&lt;=$D20),1,0)</x:f>
        <x:v>0</x:v>
      </x:c>
      <x:c r="R20" s="17" t="n">
        <x:f>IF(AND(R$5&gt;=$C20,R$5&lt;=$D20),1,0)</x:f>
        <x:v>0</x:v>
      </x:c>
      <x:c r="S20" s="17" t="n">
        <x:f>IF(AND(S$5&gt;=$C20,S$5&lt;=$D20),1,0)</x:f>
        <x:v>0</x:v>
      </x:c>
      <x:c r="T20" s="17" t="n">
        <x:f>IF(AND(T$5&gt;=$C20,T$5&lt;=$D20),1,0)</x:f>
        <x:v>0</x:v>
      </x:c>
      <x:c r="U20" s="17" t="n">
        <x:f>IF(AND(U$5&gt;=$C20,U$5&lt;=$D20),1,0)</x:f>
        <x:v>0</x:v>
      </x:c>
    </x:row>
    <x:row r="21">
      <x:c r="A21" s="11" t="str">
        <x:v>A-016</x:v>
      </x:c>
      <x:c r="B21" s="11" t="str">
        <x:v>Import backlink evidence before authority scoring or outreach</x:v>
      </x:c>
      <x:c r="C21" s="11" t="n">
        <x:v>6</x:v>
      </x:c>
      <x:c r="D21" s="11" t="n">
        <x:v>6</x:v>
      </x:c>
      <x:c r="E21" s="11" t="str">
        <x:v>Off-page SEO</x:v>
      </x:c>
      <x:c r="F21" s="17" t="n">
        <x:f>IF(AND(F$5&gt;=$C21,F$5&lt;=$D21),1,0)</x:f>
        <x:v>0</x:v>
      </x:c>
      <x:c r="G21" s="17" t="n">
        <x:f>IF(AND(G$5&gt;=$C21,G$5&lt;=$D21),1,0)</x:f>
        <x:v>0</x:v>
      </x:c>
      <x:c r="H21" s="17" t="n">
        <x:f>IF(AND(H$5&gt;=$C21,H$5&lt;=$D21),1,0)</x:f>
        <x:v>0</x:v>
      </x:c>
      <x:c r="I21" s="17" t="n">
        <x:f>IF(AND(I$5&gt;=$C21,I$5&lt;=$D21),1,0)</x:f>
        <x:v>0</x:v>
      </x:c>
      <x:c r="J21" s="17" t="n">
        <x:f>IF(AND(J$5&gt;=$C21,J$5&lt;=$D21),1,0)</x:f>
        <x:v>0</x:v>
      </x:c>
      <x:c r="K21" s="17" t="n">
        <x:f>IF(AND(K$5&gt;=$C21,K$5&lt;=$D21),1,0)</x:f>
        <x:v>1</x:v>
      </x:c>
      <x:c r="L21" s="17" t="n">
        <x:f>IF(AND(L$5&gt;=$C21,L$5&lt;=$D21),1,0)</x:f>
        <x:v>0</x:v>
      </x:c>
      <x:c r="M21" s="17" t="n">
        <x:f>IF(AND(M$5&gt;=$C21,M$5&lt;=$D21),1,0)</x:f>
        <x:v>0</x:v>
      </x:c>
      <x:c r="N21" s="17" t="n">
        <x:f>IF(AND(N$5&gt;=$C21,N$5&lt;=$D21),1,0)</x:f>
        <x:v>0</x:v>
      </x:c>
      <x:c r="O21" s="17" t="n">
        <x:f>IF(AND(O$5&gt;=$C21,O$5&lt;=$D21),1,0)</x:f>
        <x:v>0</x:v>
      </x:c>
      <x:c r="P21" s="17" t="n">
        <x:f>IF(AND(P$5&gt;=$C21,P$5&lt;=$D21),1,0)</x:f>
        <x:v>0</x:v>
      </x:c>
      <x:c r="Q21" s="17" t="n">
        <x:f>IF(AND(Q$5&gt;=$C21,Q$5&lt;=$D21),1,0)</x:f>
        <x:v>0</x:v>
      </x:c>
      <x:c r="R21" s="17" t="n">
        <x:f>IF(AND(R$5&gt;=$C21,R$5&lt;=$D21),1,0)</x:f>
        <x:v>0</x:v>
      </x:c>
      <x:c r="S21" s="17" t="n">
        <x:f>IF(AND(S$5&gt;=$C21,S$5&lt;=$D21),1,0)</x:f>
        <x:v>0</x:v>
      </x:c>
      <x:c r="T21" s="17" t="n">
        <x:f>IF(AND(T$5&gt;=$C21,T$5&lt;=$D21),1,0)</x:f>
        <x:v>0</x:v>
      </x:c>
      <x:c r="U21" s="17" t="n">
        <x:f>IF(AND(U$5&gt;=$C21,U$5&lt;=$D21),1,0)</x:f>
        <x:v>0</x:v>
      </x:c>
    </x:row>
    <x:row r="22">
      <x:c r="A22" s="11" t="str">
        <x:v>A-017</x:v>
      </x:c>
      <x:c r="B22" s="11" t="str">
        <x:v>Import GBP or BrightLocal evidence before local recommendations</x:v>
      </x:c>
      <x:c r="C22" s="11" t="n">
        <x:v>6</x:v>
      </x:c>
      <x:c r="D22" s="11" t="n">
        <x:v>6</x:v>
      </x:c>
      <x:c r="E22" s="11" t="str">
        <x:v>Local SEO</x:v>
      </x:c>
      <x:c r="F22" s="17" t="n">
        <x:f>IF(AND(F$5&gt;=$C22,F$5&lt;=$D22),1,0)</x:f>
        <x:v>0</x:v>
      </x:c>
      <x:c r="G22" s="17" t="n">
        <x:f>IF(AND(G$5&gt;=$C22,G$5&lt;=$D22),1,0)</x:f>
        <x:v>0</x:v>
      </x:c>
      <x:c r="H22" s="17" t="n">
        <x:f>IF(AND(H$5&gt;=$C22,H$5&lt;=$D22),1,0)</x:f>
        <x:v>0</x:v>
      </x:c>
      <x:c r="I22" s="17" t="n">
        <x:f>IF(AND(I$5&gt;=$C22,I$5&lt;=$D22),1,0)</x:f>
        <x:v>0</x:v>
      </x:c>
      <x:c r="J22" s="17" t="n">
        <x:f>IF(AND(J$5&gt;=$C22,J$5&lt;=$D22),1,0)</x:f>
        <x:v>0</x:v>
      </x:c>
      <x:c r="K22" s="17" t="n">
        <x:f>IF(AND(K$5&gt;=$C22,K$5&lt;=$D22),1,0)</x:f>
        <x:v>1</x:v>
      </x:c>
      <x:c r="L22" s="17" t="n">
        <x:f>IF(AND(L$5&gt;=$C22,L$5&lt;=$D22),1,0)</x:f>
        <x:v>0</x:v>
      </x:c>
      <x:c r="M22" s="17" t="n">
        <x:f>IF(AND(M$5&gt;=$C22,M$5&lt;=$D22),1,0)</x:f>
        <x:v>0</x:v>
      </x:c>
      <x:c r="N22" s="17" t="n">
        <x:f>IF(AND(N$5&gt;=$C22,N$5&lt;=$D22),1,0)</x:f>
        <x:v>0</x:v>
      </x:c>
      <x:c r="O22" s="17" t="n">
        <x:f>IF(AND(O$5&gt;=$C22,O$5&lt;=$D22),1,0)</x:f>
        <x:v>0</x:v>
      </x:c>
      <x:c r="P22" s="17" t="n">
        <x:f>IF(AND(P$5&gt;=$C22,P$5&lt;=$D22),1,0)</x:f>
        <x:v>0</x:v>
      </x:c>
      <x:c r="Q22" s="17" t="n">
        <x:f>IF(AND(Q$5&gt;=$C22,Q$5&lt;=$D22),1,0)</x:f>
        <x:v>0</x:v>
      </x:c>
      <x:c r="R22" s="17" t="n">
        <x:f>IF(AND(R$5&gt;=$C22,R$5&lt;=$D22),1,0)</x:f>
        <x:v>0</x:v>
      </x:c>
      <x:c r="S22" s="17" t="n">
        <x:f>IF(AND(S$5&gt;=$C22,S$5&lt;=$D22),1,0)</x:f>
        <x:v>0</x:v>
      </x:c>
      <x:c r="T22" s="17" t="n">
        <x:f>IF(AND(T$5&gt;=$C22,T$5&lt;=$D22),1,0)</x:f>
        <x:v>0</x:v>
      </x:c>
      <x:c r="U22" s="17" t="n">
        <x:f>IF(AND(U$5&gt;=$C22,U$5&lt;=$D22),1,0)</x:f>
        <x:v>0</x:v>
      </x:c>
    </x:row>
    <x:row r="23">
      <x:c r="A23" s="11" t="str">
        <x:v>A-018</x:v>
      </x:c>
      <x:c r="B23" s="11" t="str">
        <x:v>Validate analytics and tag implementation before CRO claims</x:v>
      </x:c>
      <x:c r="C23" s="11" t="n">
        <x:v>6</x:v>
      </x:c>
      <x:c r="D23" s="11" t="n">
        <x:v>6</x:v>
      </x:c>
      <x:c r="E23" s="11" t="str">
        <x:v>Analytics</x:v>
      </x:c>
      <x:c r="F23" s="17" t="n">
        <x:f>IF(AND(F$5&gt;=$C23,F$5&lt;=$D23),1,0)</x:f>
        <x:v>0</x:v>
      </x:c>
      <x:c r="G23" s="17" t="n">
        <x:f>IF(AND(G$5&gt;=$C23,G$5&lt;=$D23),1,0)</x:f>
        <x:v>0</x:v>
      </x:c>
      <x:c r="H23" s="17" t="n">
        <x:f>IF(AND(H$5&gt;=$C23,H$5&lt;=$D23),1,0)</x:f>
        <x:v>0</x:v>
      </x:c>
      <x:c r="I23" s="17" t="n">
        <x:f>IF(AND(I$5&gt;=$C23,I$5&lt;=$D23),1,0)</x:f>
        <x:v>0</x:v>
      </x:c>
      <x:c r="J23" s="17" t="n">
        <x:f>IF(AND(J$5&gt;=$C23,J$5&lt;=$D23),1,0)</x:f>
        <x:v>0</x:v>
      </x:c>
      <x:c r="K23" s="17" t="n">
        <x:f>IF(AND(K$5&gt;=$C23,K$5&lt;=$D23),1,0)</x:f>
        <x:v>1</x:v>
      </x:c>
      <x:c r="L23" s="17" t="n">
        <x:f>IF(AND(L$5&gt;=$C23,L$5&lt;=$D23),1,0)</x:f>
        <x:v>0</x:v>
      </x:c>
      <x:c r="M23" s="17" t="n">
        <x:f>IF(AND(M$5&gt;=$C23,M$5&lt;=$D23),1,0)</x:f>
        <x:v>0</x:v>
      </x:c>
      <x:c r="N23" s="17" t="n">
        <x:f>IF(AND(N$5&gt;=$C23,N$5&lt;=$D23),1,0)</x:f>
        <x:v>0</x:v>
      </x:c>
      <x:c r="O23" s="17" t="n">
        <x:f>IF(AND(O$5&gt;=$C23,O$5&lt;=$D23),1,0)</x:f>
        <x:v>0</x:v>
      </x:c>
      <x:c r="P23" s="17" t="n">
        <x:f>IF(AND(P$5&gt;=$C23,P$5&lt;=$D23),1,0)</x:f>
        <x:v>0</x:v>
      </x:c>
      <x:c r="Q23" s="17" t="n">
        <x:f>IF(AND(Q$5&gt;=$C23,Q$5&lt;=$D23),1,0)</x:f>
        <x:v>0</x:v>
      </x:c>
      <x:c r="R23" s="17" t="n">
        <x:f>IF(AND(R$5&gt;=$C23,R$5&lt;=$D23),1,0)</x:f>
        <x:v>0</x:v>
      </x:c>
      <x:c r="S23" s="17" t="n">
        <x:f>IF(AND(S$5&gt;=$C23,S$5&lt;=$D23),1,0)</x:f>
        <x:v>0</x:v>
      </x:c>
      <x:c r="T23" s="17" t="n">
        <x:f>IF(AND(T$5&gt;=$C23,T$5&lt;=$D23),1,0)</x:f>
        <x:v>0</x:v>
      </x:c>
      <x:c r="U23" s="17" t="n">
        <x:f>IF(AND(U$5&gt;=$C23,U$5&lt;=$D23),1,0)</x:f>
        <x:v>0</x:v>
      </x:c>
    </x:row>
    <x:row r="24">
      <x:c r="A24" s="11" t="str">
        <x:v>A-019</x:v>
      </x:c>
      <x:c r="B24" s="11" t="str">
        <x:v>Approve one accountable URL for each of 20 content intents</x:v>
      </x:c>
      <x:c r="C24" s="11" t="n">
        <x:v>7</x:v>
      </x:c>
      <x:c r="D24" s="11" t="n">
        <x:v>7</x:v>
      </x:c>
      <x:c r="E24" s="11" t="str">
        <x:v>SEO Strategist</x:v>
      </x:c>
      <x:c r="F24" s="17" t="n">
        <x:f>IF(AND(F$5&gt;=$C24,F$5&lt;=$D24),1,0)</x:f>
        <x:v>0</x:v>
      </x:c>
      <x:c r="G24" s="17" t="n">
        <x:f>IF(AND(G$5&gt;=$C24,G$5&lt;=$D24),1,0)</x:f>
        <x:v>0</x:v>
      </x:c>
      <x:c r="H24" s="17" t="n">
        <x:f>IF(AND(H$5&gt;=$C24,H$5&lt;=$D24),1,0)</x:f>
        <x:v>0</x:v>
      </x:c>
      <x:c r="I24" s="17" t="n">
        <x:f>IF(AND(I$5&gt;=$C24,I$5&lt;=$D24),1,0)</x:f>
        <x:v>0</x:v>
      </x:c>
      <x:c r="J24" s="17" t="n">
        <x:f>IF(AND(J$5&gt;=$C24,J$5&lt;=$D24),1,0)</x:f>
        <x:v>0</x:v>
      </x:c>
      <x:c r="K24" s="17" t="n">
        <x:f>IF(AND(K$5&gt;=$C24,K$5&lt;=$D24),1,0)</x:f>
        <x:v>0</x:v>
      </x:c>
      <x:c r="L24" s="17" t="n">
        <x:f>IF(AND(L$5&gt;=$C24,L$5&lt;=$D24),1,0)</x:f>
        <x:v>1</x:v>
      </x:c>
      <x:c r="M24" s="17" t="n">
        <x:f>IF(AND(M$5&gt;=$C24,M$5&lt;=$D24),1,0)</x:f>
        <x:v>0</x:v>
      </x:c>
      <x:c r="N24" s="17" t="n">
        <x:f>IF(AND(N$5&gt;=$C24,N$5&lt;=$D24),1,0)</x:f>
        <x:v>0</x:v>
      </x:c>
      <x:c r="O24" s="17" t="n">
        <x:f>IF(AND(O$5&gt;=$C24,O$5&lt;=$D24),1,0)</x:f>
        <x:v>0</x:v>
      </x:c>
      <x:c r="P24" s="17" t="n">
        <x:f>IF(AND(P$5&gt;=$C24,P$5&lt;=$D24),1,0)</x:f>
        <x:v>0</x:v>
      </x:c>
      <x:c r="Q24" s="17" t="n">
        <x:f>IF(AND(Q$5&gt;=$C24,Q$5&lt;=$D24),1,0)</x:f>
        <x:v>0</x:v>
      </x:c>
      <x:c r="R24" s="17" t="n">
        <x:f>IF(AND(R$5&gt;=$C24,R$5&lt;=$D24),1,0)</x:f>
        <x:v>0</x:v>
      </x:c>
      <x:c r="S24" s="17" t="n">
        <x:f>IF(AND(S$5&gt;=$C24,S$5&lt;=$D24),1,0)</x:f>
        <x:v>0</x:v>
      </x:c>
      <x:c r="T24" s="17" t="n">
        <x:f>IF(AND(T$5&gt;=$C24,T$5&lt;=$D24),1,0)</x:f>
        <x:v>0</x:v>
      </x:c>
      <x:c r="U24" s="17" t="n">
        <x:f>IF(AND(U$5&gt;=$C24,U$5&lt;=$D24),1,0)</x:f>
        <x:v>0</x:v>
      </x:c>
    </x:row>
    <x:row r="25">
      <x:c r="A25" s="11" t="str">
        <x:v>A-020</x:v>
      </x:c>
      <x:c r="B25" s="11" t="str">
        <x:v>Document duplicate-title and H1 clusters for consolidation review</x:v>
      </x:c>
      <x:c r="C25" s="11" t="n">
        <x:v>7</x:v>
      </x:c>
      <x:c r="D25" s="11" t="n">
        <x:v>7</x:v>
      </x:c>
      <x:c r="E25" s="11" t="str">
        <x:v>SEO Strategist</x:v>
      </x:c>
      <x:c r="F25" s="17" t="n">
        <x:f>IF(AND(F$5&gt;=$C25,F$5&lt;=$D25),1,0)</x:f>
        <x:v>0</x:v>
      </x:c>
      <x:c r="G25" s="17" t="n">
        <x:f>IF(AND(G$5&gt;=$C25,G$5&lt;=$D25),1,0)</x:f>
        <x:v>0</x:v>
      </x:c>
      <x:c r="H25" s="17" t="n">
        <x:f>IF(AND(H$5&gt;=$C25,H$5&lt;=$D25),1,0)</x:f>
        <x:v>0</x:v>
      </x:c>
      <x:c r="I25" s="17" t="n">
        <x:f>IF(AND(I$5&gt;=$C25,I$5&lt;=$D25),1,0)</x:f>
        <x:v>0</x:v>
      </x:c>
      <x:c r="J25" s="17" t="n">
        <x:f>IF(AND(J$5&gt;=$C25,J$5&lt;=$D25),1,0)</x:f>
        <x:v>0</x:v>
      </x:c>
      <x:c r="K25" s="17" t="n">
        <x:f>IF(AND(K$5&gt;=$C25,K$5&lt;=$D25),1,0)</x:f>
        <x:v>0</x:v>
      </x:c>
      <x:c r="L25" s="17" t="n">
        <x:f>IF(AND(L$5&gt;=$C25,L$5&lt;=$D25),1,0)</x:f>
        <x:v>1</x:v>
      </x:c>
      <x:c r="M25" s="17" t="n">
        <x:f>IF(AND(M$5&gt;=$C25,M$5&lt;=$D25),1,0)</x:f>
        <x:v>0</x:v>
      </x:c>
      <x:c r="N25" s="17" t="n">
        <x:f>IF(AND(N$5&gt;=$C25,N$5&lt;=$D25),1,0)</x:f>
        <x:v>0</x:v>
      </x:c>
      <x:c r="O25" s="17" t="n">
        <x:f>IF(AND(O$5&gt;=$C25,O$5&lt;=$D25),1,0)</x:f>
        <x:v>0</x:v>
      </x:c>
      <x:c r="P25" s="17" t="n">
        <x:f>IF(AND(P$5&gt;=$C25,P$5&lt;=$D25),1,0)</x:f>
        <x:v>0</x:v>
      </x:c>
      <x:c r="Q25" s="17" t="n">
        <x:f>IF(AND(Q$5&gt;=$C25,Q$5&lt;=$D25),1,0)</x:f>
        <x:v>0</x:v>
      </x:c>
      <x:c r="R25" s="17" t="n">
        <x:f>IF(AND(R$5&gt;=$C25,R$5&lt;=$D25),1,0)</x:f>
        <x:v>0</x:v>
      </x:c>
      <x:c r="S25" s="17" t="n">
        <x:f>IF(AND(S$5&gt;=$C25,S$5&lt;=$D25),1,0)</x:f>
        <x:v>0</x:v>
      </x:c>
      <x:c r="T25" s="17" t="n">
        <x:f>IF(AND(T$5&gt;=$C25,T$5&lt;=$D25),1,0)</x:f>
        <x:v>0</x:v>
      </x:c>
      <x:c r="U25" s="17" t="n">
        <x:f>IF(AND(U$5&gt;=$C25,U$5&lt;=$D25),1,0)</x:f>
        <x:v>0</x:v>
      </x:c>
    </x:row>
    <x:row r="26">
      <x:c r="A26" s="11" t="str">
        <x:v>A-021</x:v>
      </x:c>
      <x:c r="B26" s="11" t="str">
        <x:v>Freeze the URL architecture map and cannibalization ledger</x:v>
      </x:c>
      <x:c r="C26" s="11" t="n">
        <x:v>7</x:v>
      </x:c>
      <x:c r="D26" s="11" t="n">
        <x:v>7</x:v>
      </x:c>
      <x:c r="E26" s="11" t="str">
        <x:v>Agency admin</x:v>
      </x:c>
      <x:c r="F26" s="17" t="n">
        <x:f>IF(AND(F$5&gt;=$C26,F$5&lt;=$D26),1,0)</x:f>
        <x:v>0</x:v>
      </x:c>
      <x:c r="G26" s="17" t="n">
        <x:f>IF(AND(G$5&gt;=$C26,G$5&lt;=$D26),1,0)</x:f>
        <x:v>0</x:v>
      </x:c>
      <x:c r="H26" s="17" t="n">
        <x:f>IF(AND(H$5&gt;=$C26,H$5&lt;=$D26),1,0)</x:f>
        <x:v>0</x:v>
      </x:c>
      <x:c r="I26" s="17" t="n">
        <x:f>IF(AND(I$5&gt;=$C26,I$5&lt;=$D26),1,0)</x:f>
        <x:v>0</x:v>
      </x:c>
      <x:c r="J26" s="17" t="n">
        <x:f>IF(AND(J$5&gt;=$C26,J$5&lt;=$D26),1,0)</x:f>
        <x:v>0</x:v>
      </x:c>
      <x:c r="K26" s="17" t="n">
        <x:f>IF(AND(K$5&gt;=$C26,K$5&lt;=$D26),1,0)</x:f>
        <x:v>0</x:v>
      </x:c>
      <x:c r="L26" s="17" t="n">
        <x:f>IF(AND(L$5&gt;=$C26,L$5&lt;=$D26),1,0)</x:f>
        <x:v>1</x:v>
      </x:c>
      <x:c r="M26" s="17" t="n">
        <x:f>IF(AND(M$5&gt;=$C26,M$5&lt;=$D26),1,0)</x:f>
        <x:v>0</x:v>
      </x:c>
      <x:c r="N26" s="17" t="n">
        <x:f>IF(AND(N$5&gt;=$C26,N$5&lt;=$D26),1,0)</x:f>
        <x:v>0</x:v>
      </x:c>
      <x:c r="O26" s="17" t="n">
        <x:f>IF(AND(O$5&gt;=$C26,O$5&lt;=$D26),1,0)</x:f>
        <x:v>0</x:v>
      </x:c>
      <x:c r="P26" s="17" t="n">
        <x:f>IF(AND(P$5&gt;=$C26,P$5&lt;=$D26),1,0)</x:f>
        <x:v>0</x:v>
      </x:c>
      <x:c r="Q26" s="17" t="n">
        <x:f>IF(AND(Q$5&gt;=$C26,Q$5&lt;=$D26),1,0)</x:f>
        <x:v>0</x:v>
      </x:c>
      <x:c r="R26" s="17" t="n">
        <x:f>IF(AND(R$5&gt;=$C26,R$5&lt;=$D26),1,0)</x:f>
        <x:v>0</x:v>
      </x:c>
      <x:c r="S26" s="17" t="n">
        <x:f>IF(AND(S$5&gt;=$C26,S$5&lt;=$D26),1,0)</x:f>
        <x:v>0</x:v>
      </x:c>
      <x:c r="T26" s="17" t="n">
        <x:f>IF(AND(T$5&gt;=$C26,T$5&lt;=$D26),1,0)</x:f>
        <x:v>0</x:v>
      </x:c>
      <x:c r="U26" s="17" t="n">
        <x:f>IF(AND(U$5&gt;=$C26,U$5&lt;=$D26),1,0)</x:f>
        <x:v>0</x:v>
      </x:c>
    </x:row>
    <x:row r="27">
      <x:c r="A27" s="11" t="str">
        <x:v>A-022</x:v>
      </x:c>
      <x:c r="B27" s="11" t="str">
        <x:v>Validate observed internal-link graph and orphan risk</x:v>
      </x:c>
      <x:c r="C27" s="11" t="n">
        <x:v>8</x:v>
      </x:c>
      <x:c r="D27" s="11" t="n">
        <x:v>8</x:v>
      </x:c>
      <x:c r="E27" s="11" t="str">
        <x:v>Technical SEO</x:v>
      </x:c>
      <x:c r="F27" s="17" t="n">
        <x:f>IF(AND(F$5&gt;=$C27,F$5&lt;=$D27),1,0)</x:f>
        <x:v>0</x:v>
      </x:c>
      <x:c r="G27" s="17" t="n">
        <x:f>IF(AND(G$5&gt;=$C27,G$5&lt;=$D27),1,0)</x:f>
        <x:v>0</x:v>
      </x:c>
      <x:c r="H27" s="17" t="n">
        <x:f>IF(AND(H$5&gt;=$C27,H$5&lt;=$D27),1,0)</x:f>
        <x:v>0</x:v>
      </x:c>
      <x:c r="I27" s="17" t="n">
        <x:f>IF(AND(I$5&gt;=$C27,I$5&lt;=$D27),1,0)</x:f>
        <x:v>0</x:v>
      </x:c>
      <x:c r="J27" s="17" t="n">
        <x:f>IF(AND(J$5&gt;=$C27,J$5&lt;=$D27),1,0)</x:f>
        <x:v>0</x:v>
      </x:c>
      <x:c r="K27" s="17" t="n">
        <x:f>IF(AND(K$5&gt;=$C27,K$5&lt;=$D27),1,0)</x:f>
        <x:v>0</x:v>
      </x:c>
      <x:c r="L27" s="17" t="n">
        <x:f>IF(AND(L$5&gt;=$C27,L$5&lt;=$D27),1,0)</x:f>
        <x:v>0</x:v>
      </x:c>
      <x:c r="M27" s="17" t="n">
        <x:f>IF(AND(M$5&gt;=$C27,M$5&lt;=$D27),1,0)</x:f>
        <x:v>1</x:v>
      </x:c>
      <x:c r="N27" s="17" t="n">
        <x:f>IF(AND(N$5&gt;=$C27,N$5&lt;=$D27),1,0)</x:f>
        <x:v>0</x:v>
      </x:c>
      <x:c r="O27" s="17" t="n">
        <x:f>IF(AND(O$5&gt;=$C27,O$5&lt;=$D27),1,0)</x:f>
        <x:v>0</x:v>
      </x:c>
      <x:c r="P27" s="17" t="n">
        <x:f>IF(AND(P$5&gt;=$C27,P$5&lt;=$D27),1,0)</x:f>
        <x:v>0</x:v>
      </x:c>
      <x:c r="Q27" s="17" t="n">
        <x:f>IF(AND(Q$5&gt;=$C27,Q$5&lt;=$D27),1,0)</x:f>
        <x:v>0</x:v>
      </x:c>
      <x:c r="R27" s="17" t="n">
        <x:f>IF(AND(R$5&gt;=$C27,R$5&lt;=$D27),1,0)</x:f>
        <x:v>0</x:v>
      </x:c>
      <x:c r="S27" s="17" t="n">
        <x:f>IF(AND(S$5&gt;=$C27,S$5&lt;=$D27),1,0)</x:f>
        <x:v>0</x:v>
      </x:c>
      <x:c r="T27" s="17" t="n">
        <x:f>IF(AND(T$5&gt;=$C27,T$5&lt;=$D27),1,0)</x:f>
        <x:v>0</x:v>
      </x:c>
      <x:c r="U27" s="17" t="n">
        <x:f>IF(AND(U$5&gt;=$C27,U$5&lt;=$D27),1,0)</x:f>
        <x:v>0</x:v>
      </x:c>
    </x:row>
    <x:row r="28">
      <x:c r="A28" s="11" t="str">
        <x:v>A-023</x:v>
      </x:c>
      <x:c r="B28" s="11" t="str">
        <x:v>Approve parent-child collection and product link candidates</x:v>
      </x:c>
      <x:c r="C28" s="11" t="n">
        <x:v>8</x:v>
      </x:c>
      <x:c r="D28" s="11" t="n">
        <x:v>8</x:v>
      </x:c>
      <x:c r="E28" s="11" t="str">
        <x:v>SEO + UX</x:v>
      </x:c>
      <x:c r="F28" s="17" t="n">
        <x:f>IF(AND(F$5&gt;=$C28,F$5&lt;=$D28),1,0)</x:f>
        <x:v>0</x:v>
      </x:c>
      <x:c r="G28" s="17" t="n">
        <x:f>IF(AND(G$5&gt;=$C28,G$5&lt;=$D28),1,0)</x:f>
        <x:v>0</x:v>
      </x:c>
      <x:c r="H28" s="17" t="n">
        <x:f>IF(AND(H$5&gt;=$C28,H$5&lt;=$D28),1,0)</x:f>
        <x:v>0</x:v>
      </x:c>
      <x:c r="I28" s="17" t="n">
        <x:f>IF(AND(I$5&gt;=$C28,I$5&lt;=$D28),1,0)</x:f>
        <x:v>0</x:v>
      </x:c>
      <x:c r="J28" s="17" t="n">
        <x:f>IF(AND(J$5&gt;=$C28,J$5&lt;=$D28),1,0)</x:f>
        <x:v>0</x:v>
      </x:c>
      <x:c r="K28" s="17" t="n">
        <x:f>IF(AND(K$5&gt;=$C28,K$5&lt;=$D28),1,0)</x:f>
        <x:v>0</x:v>
      </x:c>
      <x:c r="L28" s="17" t="n">
        <x:f>IF(AND(L$5&gt;=$C28,L$5&lt;=$D28),1,0)</x:f>
        <x:v>0</x:v>
      </x:c>
      <x:c r="M28" s="17" t="n">
        <x:f>IF(AND(M$5&gt;=$C28,M$5&lt;=$D28),1,0)</x:f>
        <x:v>1</x:v>
      </x:c>
      <x:c r="N28" s="17" t="n">
        <x:f>IF(AND(N$5&gt;=$C28,N$5&lt;=$D28),1,0)</x:f>
        <x:v>0</x:v>
      </x:c>
      <x:c r="O28" s="17" t="n">
        <x:f>IF(AND(O$5&gt;=$C28,O$5&lt;=$D28),1,0)</x:f>
        <x:v>0</x:v>
      </x:c>
      <x:c r="P28" s="17" t="n">
        <x:f>IF(AND(P$5&gt;=$C28,P$5&lt;=$D28),1,0)</x:f>
        <x:v>0</x:v>
      </x:c>
      <x:c r="Q28" s="17" t="n">
        <x:f>IF(AND(Q$5&gt;=$C28,Q$5&lt;=$D28),1,0)</x:f>
        <x:v>0</x:v>
      </x:c>
      <x:c r="R28" s="17" t="n">
        <x:f>IF(AND(R$5&gt;=$C28,R$5&lt;=$D28),1,0)</x:f>
        <x:v>0</x:v>
      </x:c>
      <x:c r="S28" s="17" t="n">
        <x:f>IF(AND(S$5&gt;=$C28,S$5&lt;=$D28),1,0)</x:f>
        <x:v>0</x:v>
      </x:c>
      <x:c r="T28" s="17" t="n">
        <x:f>IF(AND(T$5&gt;=$C28,T$5&lt;=$D28),1,0)</x:f>
        <x:v>0</x:v>
      </x:c>
      <x:c r="U28" s="17" t="n">
        <x:f>IF(AND(U$5&gt;=$C28,U$5&lt;=$D28),1,0)</x:f>
        <x:v>0</x:v>
      </x:c>
    </x:row>
    <x:row r="29">
      <x:c r="A29" s="11" t="str">
        <x:v>A-024</x:v>
      </x:c>
      <x:c r="B29" s="11" t="str">
        <x:v>Review breadcrumbs and navigation labels for descriptive anchors</x:v>
      </x:c>
      <x:c r="C29" s="11" t="n">
        <x:v>8</x:v>
      </x:c>
      <x:c r="D29" s="11" t="n">
        <x:v>8</x:v>
      </x:c>
      <x:c r="E29" s="11" t="str">
        <x:v>UX + Engineering</x:v>
      </x:c>
      <x:c r="F29" s="17" t="n">
        <x:f>IF(AND(F$5&gt;=$C29,F$5&lt;=$D29),1,0)</x:f>
        <x:v>0</x:v>
      </x:c>
      <x:c r="G29" s="17" t="n">
        <x:f>IF(AND(G$5&gt;=$C29,G$5&lt;=$D29),1,0)</x:f>
        <x:v>0</x:v>
      </x:c>
      <x:c r="H29" s="17" t="n">
        <x:f>IF(AND(H$5&gt;=$C29,H$5&lt;=$D29),1,0)</x:f>
        <x:v>0</x:v>
      </x:c>
      <x:c r="I29" s="17" t="n">
        <x:f>IF(AND(I$5&gt;=$C29,I$5&lt;=$D29),1,0)</x:f>
        <x:v>0</x:v>
      </x:c>
      <x:c r="J29" s="17" t="n">
        <x:f>IF(AND(J$5&gt;=$C29,J$5&lt;=$D29),1,0)</x:f>
        <x:v>0</x:v>
      </x:c>
      <x:c r="K29" s="17" t="n">
        <x:f>IF(AND(K$5&gt;=$C29,K$5&lt;=$D29),1,0)</x:f>
        <x:v>0</x:v>
      </x:c>
      <x:c r="L29" s="17" t="n">
        <x:f>IF(AND(L$5&gt;=$C29,L$5&lt;=$D29),1,0)</x:f>
        <x:v>0</x:v>
      </x:c>
      <x:c r="M29" s="17" t="n">
        <x:f>IF(AND(M$5&gt;=$C29,M$5&lt;=$D29),1,0)</x:f>
        <x:v>1</x:v>
      </x:c>
      <x:c r="N29" s="17" t="n">
        <x:f>IF(AND(N$5&gt;=$C29,N$5&lt;=$D29),1,0)</x:f>
        <x:v>0</x:v>
      </x:c>
      <x:c r="O29" s="17" t="n">
        <x:f>IF(AND(O$5&gt;=$C29,O$5&lt;=$D29),1,0)</x:f>
        <x:v>0</x:v>
      </x:c>
      <x:c r="P29" s="17" t="n">
        <x:f>IF(AND(P$5&gt;=$C29,P$5&lt;=$D29),1,0)</x:f>
        <x:v>0</x:v>
      </x:c>
      <x:c r="Q29" s="17" t="n">
        <x:f>IF(AND(Q$5&gt;=$C29,Q$5&lt;=$D29),1,0)</x:f>
        <x:v>0</x:v>
      </x:c>
      <x:c r="R29" s="17" t="n">
        <x:f>IF(AND(R$5&gt;=$C29,R$5&lt;=$D29),1,0)</x:f>
        <x:v>0</x:v>
      </x:c>
      <x:c r="S29" s="17" t="n">
        <x:f>IF(AND(S$5&gt;=$C29,S$5&lt;=$D29),1,0)</x:f>
        <x:v>0</x:v>
      </x:c>
      <x:c r="T29" s="17" t="n">
        <x:f>IF(AND(T$5&gt;=$C29,T$5&lt;=$D29),1,0)</x:f>
        <x:v>0</x:v>
      </x:c>
      <x:c r="U29" s="17" t="n">
        <x:f>IF(AND(U$5&gt;=$C29,U$5&lt;=$D29),1,0)</x:f>
        <x:v>0</x:v>
      </x:c>
    </x:row>
    <x:row r="30">
      <x:c r="A30" s="11" t="str">
        <x:v>A-025</x:v>
      </x:c>
      <x:c r="B30" s="11" t="str">
        <x:v>Stage title and meta changes on representative templates</x:v>
      </x:c>
      <x:c r="C30" s="11" t="n">
        <x:v>9</x:v>
      </x:c>
      <x:c r="D30" s="11" t="n">
        <x:v>9</x:v>
      </x:c>
      <x:c r="E30" s="11" t="str">
        <x:v>Engineering</x:v>
      </x:c>
      <x:c r="F30" s="17" t="n">
        <x:f>IF(AND(F$5&gt;=$C30,F$5&lt;=$D30),1,0)</x:f>
        <x:v>0</x:v>
      </x:c>
      <x:c r="G30" s="17" t="n">
        <x:f>IF(AND(G$5&gt;=$C30,G$5&lt;=$D30),1,0)</x:f>
        <x:v>0</x:v>
      </x:c>
      <x:c r="H30" s="17" t="n">
        <x:f>IF(AND(H$5&gt;=$C30,H$5&lt;=$D30),1,0)</x:f>
        <x:v>0</x:v>
      </x:c>
      <x:c r="I30" s="17" t="n">
        <x:f>IF(AND(I$5&gt;=$C30,I$5&lt;=$D30),1,0)</x:f>
        <x:v>0</x:v>
      </x:c>
      <x:c r="J30" s="17" t="n">
        <x:f>IF(AND(J$5&gt;=$C30,J$5&lt;=$D30),1,0)</x:f>
        <x:v>0</x:v>
      </x:c>
      <x:c r="K30" s="17" t="n">
        <x:f>IF(AND(K$5&gt;=$C30,K$5&lt;=$D30),1,0)</x:f>
        <x:v>0</x:v>
      </x:c>
      <x:c r="L30" s="17" t="n">
        <x:f>IF(AND(L$5&gt;=$C30,L$5&lt;=$D30),1,0)</x:f>
        <x:v>0</x:v>
      </x:c>
      <x:c r="M30" s="17" t="n">
        <x:f>IF(AND(M$5&gt;=$C30,M$5&lt;=$D30),1,0)</x:f>
        <x:v>0</x:v>
      </x:c>
      <x:c r="N30" s="17" t="n">
        <x:f>IF(AND(N$5&gt;=$C30,N$5&lt;=$D30),1,0)</x:f>
        <x:v>1</x:v>
      </x:c>
      <x:c r="O30" s="17" t="n">
        <x:f>IF(AND(O$5&gt;=$C30,O$5&lt;=$D30),1,0)</x:f>
        <x:v>0</x:v>
      </x:c>
      <x:c r="P30" s="17" t="n">
        <x:f>IF(AND(P$5&gt;=$C30,P$5&lt;=$D30),1,0)</x:f>
        <x:v>0</x:v>
      </x:c>
      <x:c r="Q30" s="17" t="n">
        <x:f>IF(AND(Q$5&gt;=$C30,Q$5&lt;=$D30),1,0)</x:f>
        <x:v>0</x:v>
      </x:c>
      <x:c r="R30" s="17" t="n">
        <x:f>IF(AND(R$5&gt;=$C30,R$5&lt;=$D30),1,0)</x:f>
        <x:v>0</x:v>
      </x:c>
      <x:c r="S30" s="17" t="n">
        <x:f>IF(AND(S$5&gt;=$C30,S$5&lt;=$D30),1,0)</x:f>
        <x:v>0</x:v>
      </x:c>
      <x:c r="T30" s="17" t="n">
        <x:f>IF(AND(T$5&gt;=$C30,T$5&lt;=$D30),1,0)</x:f>
        <x:v>0</x:v>
      </x:c>
      <x:c r="U30" s="17" t="n">
        <x:f>IF(AND(U$5&gt;=$C30,U$5&lt;=$D30),1,0)</x:f>
        <x:v>0</x:v>
      </x:c>
    </x:row>
    <x:row r="31">
      <x:c r="A31" s="11" t="str">
        <x:v>A-026</x:v>
      </x:c>
      <x:c r="B31" s="11" t="str">
        <x:v>Stage H1 and heading hierarchy changes</x:v>
      </x:c>
      <x:c r="C31" s="11" t="n">
        <x:v>9</x:v>
      </x:c>
      <x:c r="D31" s="11" t="n">
        <x:v>9</x:v>
      </x:c>
      <x:c r="E31" s="11" t="str">
        <x:v>Engineering</x:v>
      </x:c>
      <x:c r="F31" s="17" t="n">
        <x:f>IF(AND(F$5&gt;=$C31,F$5&lt;=$D31),1,0)</x:f>
        <x:v>0</x:v>
      </x:c>
      <x:c r="G31" s="17" t="n">
        <x:f>IF(AND(G$5&gt;=$C31,G$5&lt;=$D31),1,0)</x:f>
        <x:v>0</x:v>
      </x:c>
      <x:c r="H31" s="17" t="n">
        <x:f>IF(AND(H$5&gt;=$C31,H$5&lt;=$D31),1,0)</x:f>
        <x:v>0</x:v>
      </x:c>
      <x:c r="I31" s="17" t="n">
        <x:f>IF(AND(I$5&gt;=$C31,I$5&lt;=$D31),1,0)</x:f>
        <x:v>0</x:v>
      </x:c>
      <x:c r="J31" s="17" t="n">
        <x:f>IF(AND(J$5&gt;=$C31,J$5&lt;=$D31),1,0)</x:f>
        <x:v>0</x:v>
      </x:c>
      <x:c r="K31" s="17" t="n">
        <x:f>IF(AND(K$5&gt;=$C31,K$5&lt;=$D31),1,0)</x:f>
        <x:v>0</x:v>
      </x:c>
      <x:c r="L31" s="17" t="n">
        <x:f>IF(AND(L$5&gt;=$C31,L$5&lt;=$D31),1,0)</x:f>
        <x:v>0</x:v>
      </x:c>
      <x:c r="M31" s="17" t="n">
        <x:f>IF(AND(M$5&gt;=$C31,M$5&lt;=$D31),1,0)</x:f>
        <x:v>0</x:v>
      </x:c>
      <x:c r="N31" s="17" t="n">
        <x:f>IF(AND(N$5&gt;=$C31,N$5&lt;=$D31),1,0)</x:f>
        <x:v>1</x:v>
      </x:c>
      <x:c r="O31" s="17" t="n">
        <x:f>IF(AND(O$5&gt;=$C31,O$5&lt;=$D31),1,0)</x:f>
        <x:v>0</x:v>
      </x:c>
      <x:c r="P31" s="17" t="n">
        <x:f>IF(AND(P$5&gt;=$C31,P$5&lt;=$D31),1,0)</x:f>
        <x:v>0</x:v>
      </x:c>
      <x:c r="Q31" s="17" t="n">
        <x:f>IF(AND(Q$5&gt;=$C31,Q$5&lt;=$D31),1,0)</x:f>
        <x:v>0</x:v>
      </x:c>
      <x:c r="R31" s="17" t="n">
        <x:f>IF(AND(R$5&gt;=$C31,R$5&lt;=$D31),1,0)</x:f>
        <x:v>0</x:v>
      </x:c>
      <x:c r="S31" s="17" t="n">
        <x:f>IF(AND(S$5&gt;=$C31,S$5&lt;=$D31),1,0)</x:f>
        <x:v>0</x:v>
      </x:c>
      <x:c r="T31" s="17" t="n">
        <x:f>IF(AND(T$5&gt;=$C31,T$5&lt;=$D31),1,0)</x:f>
        <x:v>0</x:v>
      </x:c>
      <x:c r="U31" s="17" t="n">
        <x:f>IF(AND(U$5&gt;=$C31,U$5&lt;=$D31),1,0)</x:f>
        <x:v>0</x:v>
      </x:c>
    </x:row>
    <x:row r="32">
      <x:c r="A32" s="11" t="str">
        <x:v>A-027</x:v>
      </x:c>
      <x:c r="B32" s="11" t="str">
        <x:v>Run visual, mobile and structured-data regression checks</x:v>
      </x:c>
      <x:c r="C32" s="11" t="n">
        <x:v>9</x:v>
      </x:c>
      <x:c r="D32" s="11" t="n">
        <x:v>9</x:v>
      </x:c>
      <x:c r="E32" s="11" t="str">
        <x:v>QA</x:v>
      </x:c>
      <x:c r="F32" s="17" t="n">
        <x:f>IF(AND(F$5&gt;=$C32,F$5&lt;=$D32),1,0)</x:f>
        <x:v>0</x:v>
      </x:c>
      <x:c r="G32" s="17" t="n">
        <x:f>IF(AND(G$5&gt;=$C32,G$5&lt;=$D32),1,0)</x:f>
        <x:v>0</x:v>
      </x:c>
      <x:c r="H32" s="17" t="n">
        <x:f>IF(AND(H$5&gt;=$C32,H$5&lt;=$D32),1,0)</x:f>
        <x:v>0</x:v>
      </x:c>
      <x:c r="I32" s="17" t="n">
        <x:f>IF(AND(I$5&gt;=$C32,I$5&lt;=$D32),1,0)</x:f>
        <x:v>0</x:v>
      </x:c>
      <x:c r="J32" s="17" t="n">
        <x:f>IF(AND(J$5&gt;=$C32,J$5&lt;=$D32),1,0)</x:f>
        <x:v>0</x:v>
      </x:c>
      <x:c r="K32" s="17" t="n">
        <x:f>IF(AND(K$5&gt;=$C32,K$5&lt;=$D32),1,0)</x:f>
        <x:v>0</x:v>
      </x:c>
      <x:c r="L32" s="17" t="n">
        <x:f>IF(AND(L$5&gt;=$C32,L$5&lt;=$D32),1,0)</x:f>
        <x:v>0</x:v>
      </x:c>
      <x:c r="M32" s="17" t="n">
        <x:f>IF(AND(M$5&gt;=$C32,M$5&lt;=$D32),1,0)</x:f>
        <x:v>0</x:v>
      </x:c>
      <x:c r="N32" s="17" t="n">
        <x:f>IF(AND(N$5&gt;=$C32,N$5&lt;=$D32),1,0)</x:f>
        <x:v>1</x:v>
      </x:c>
      <x:c r="O32" s="17" t="n">
        <x:f>IF(AND(O$5&gt;=$C32,O$5&lt;=$D32),1,0)</x:f>
        <x:v>0</x:v>
      </x:c>
      <x:c r="P32" s="17" t="n">
        <x:f>IF(AND(P$5&gt;=$C32,P$5&lt;=$D32),1,0)</x:f>
        <x:v>0</x:v>
      </x:c>
      <x:c r="Q32" s="17" t="n">
        <x:f>IF(AND(Q$5&gt;=$C32,Q$5&lt;=$D32),1,0)</x:f>
        <x:v>0</x:v>
      </x:c>
      <x:c r="R32" s="17" t="n">
        <x:f>IF(AND(R$5&gt;=$C32,R$5&lt;=$D32),1,0)</x:f>
        <x:v>0</x:v>
      </x:c>
      <x:c r="S32" s="17" t="n">
        <x:f>IF(AND(S$5&gt;=$C32,S$5&lt;=$D32),1,0)</x:f>
        <x:v>0</x:v>
      </x:c>
      <x:c r="T32" s="17" t="n">
        <x:f>IF(AND(T$5&gt;=$C32,T$5&lt;=$D32),1,0)</x:f>
        <x:v>0</x:v>
      </x:c>
      <x:c r="U32" s="17" t="n">
        <x:f>IF(AND(U$5&gt;=$C32,U$5&lt;=$D32),1,0)</x:f>
        <x:v>0</x:v>
      </x:c>
    </x:row>
    <x:row r="33">
      <x:c r="A33" s="11" t="str">
        <x:v>A-028</x:v>
      </x:c>
      <x:c r="B33" s="11" t="str">
        <x:v>Editorially review content assets 01-03</x:v>
      </x:c>
      <x:c r="C33" s="11" t="n">
        <x:v>10</x:v>
      </x:c>
      <x:c r="D33" s="11" t="n">
        <x:v>10</x:v>
      </x:c>
      <x:c r="E33" s="11" t="str">
        <x:v>Content Lead</x:v>
      </x:c>
      <x:c r="F33" s="17" t="n">
        <x:f>IF(AND(F$5&gt;=$C33,F$5&lt;=$D33),1,0)</x:f>
        <x:v>0</x:v>
      </x:c>
      <x:c r="G33" s="17" t="n">
        <x:f>IF(AND(G$5&gt;=$C33,G$5&lt;=$D33),1,0)</x:f>
        <x:v>0</x:v>
      </x:c>
      <x:c r="H33" s="17" t="n">
        <x:f>IF(AND(H$5&gt;=$C33,H$5&lt;=$D33),1,0)</x:f>
        <x:v>0</x:v>
      </x:c>
      <x:c r="I33" s="17" t="n">
        <x:f>IF(AND(I$5&gt;=$C33,I$5&lt;=$D33),1,0)</x:f>
        <x:v>0</x:v>
      </x:c>
      <x:c r="J33" s="17" t="n">
        <x:f>IF(AND(J$5&gt;=$C33,J$5&lt;=$D33),1,0)</x:f>
        <x:v>0</x:v>
      </x:c>
      <x:c r="K33" s="17" t="n">
        <x:f>IF(AND(K$5&gt;=$C33,K$5&lt;=$D33),1,0)</x:f>
        <x:v>0</x:v>
      </x:c>
      <x:c r="L33" s="17" t="n">
        <x:f>IF(AND(L$5&gt;=$C33,L$5&lt;=$D33),1,0)</x:f>
        <x:v>0</x:v>
      </x:c>
      <x:c r="M33" s="17" t="n">
        <x:f>IF(AND(M$5&gt;=$C33,M$5&lt;=$D33),1,0)</x:f>
        <x:v>0</x:v>
      </x:c>
      <x:c r="N33" s="17" t="n">
        <x:f>IF(AND(N$5&gt;=$C33,N$5&lt;=$D33),1,0)</x:f>
        <x:v>0</x:v>
      </x:c>
      <x:c r="O33" s="17" t="n">
        <x:f>IF(AND(O$5&gt;=$C33,O$5&lt;=$D33),1,0)</x:f>
        <x:v>1</x:v>
      </x:c>
      <x:c r="P33" s="17" t="n">
        <x:f>IF(AND(P$5&gt;=$C33,P$5&lt;=$D33),1,0)</x:f>
        <x:v>0</x:v>
      </x:c>
      <x:c r="Q33" s="17" t="n">
        <x:f>IF(AND(Q$5&gt;=$C33,Q$5&lt;=$D33),1,0)</x:f>
        <x:v>0</x:v>
      </x:c>
      <x:c r="R33" s="17" t="n">
        <x:f>IF(AND(R$5&gt;=$C33,R$5&lt;=$D33),1,0)</x:f>
        <x:v>0</x:v>
      </x:c>
      <x:c r="S33" s="17" t="n">
        <x:f>IF(AND(S$5&gt;=$C33,S$5&lt;=$D33),1,0)</x:f>
        <x:v>0</x:v>
      </x:c>
      <x:c r="T33" s="17" t="n">
        <x:f>IF(AND(T$5&gt;=$C33,T$5&lt;=$D33),1,0)</x:f>
        <x:v>0</x:v>
      </x:c>
      <x:c r="U33" s="17" t="n">
        <x:f>IF(AND(U$5&gt;=$C33,U$5&lt;=$D33),1,0)</x:f>
        <x:v>0</x:v>
      </x:c>
    </x:row>
    <x:row r="34">
      <x:c r="A34" s="11" t="str">
        <x:v>A-029</x:v>
      </x:c>
      <x:c r="B34" s="11" t="str">
        <x:v>Editorially review content assets 04-06</x:v>
      </x:c>
      <x:c r="C34" s="11" t="n">
        <x:v>10</x:v>
      </x:c>
      <x:c r="D34" s="11" t="n">
        <x:v>10</x:v>
      </x:c>
      <x:c r="E34" s="11" t="str">
        <x:v>Content Lead</x:v>
      </x:c>
      <x:c r="F34" s="17" t="n">
        <x:f>IF(AND(F$5&gt;=$C34,F$5&lt;=$D34),1,0)</x:f>
        <x:v>0</x:v>
      </x:c>
      <x:c r="G34" s="17" t="n">
        <x:f>IF(AND(G$5&gt;=$C34,G$5&lt;=$D34),1,0)</x:f>
        <x:v>0</x:v>
      </x:c>
      <x:c r="H34" s="17" t="n">
        <x:f>IF(AND(H$5&gt;=$C34,H$5&lt;=$D34),1,0)</x:f>
        <x:v>0</x:v>
      </x:c>
      <x:c r="I34" s="17" t="n">
        <x:f>IF(AND(I$5&gt;=$C34,I$5&lt;=$D34),1,0)</x:f>
        <x:v>0</x:v>
      </x:c>
      <x:c r="J34" s="17" t="n">
        <x:f>IF(AND(J$5&gt;=$C34,J$5&lt;=$D34),1,0)</x:f>
        <x:v>0</x:v>
      </x:c>
      <x:c r="K34" s="17" t="n">
        <x:f>IF(AND(K$5&gt;=$C34,K$5&lt;=$D34),1,0)</x:f>
        <x:v>0</x:v>
      </x:c>
      <x:c r="L34" s="17" t="n">
        <x:f>IF(AND(L$5&gt;=$C34,L$5&lt;=$D34),1,0)</x:f>
        <x:v>0</x:v>
      </x:c>
      <x:c r="M34" s="17" t="n">
        <x:f>IF(AND(M$5&gt;=$C34,M$5&lt;=$D34),1,0)</x:f>
        <x:v>0</x:v>
      </x:c>
      <x:c r="N34" s="17" t="n">
        <x:f>IF(AND(N$5&gt;=$C34,N$5&lt;=$D34),1,0)</x:f>
        <x:v>0</x:v>
      </x:c>
      <x:c r="O34" s="17" t="n">
        <x:f>IF(AND(O$5&gt;=$C34,O$5&lt;=$D34),1,0)</x:f>
        <x:v>1</x:v>
      </x:c>
      <x:c r="P34" s="17" t="n">
        <x:f>IF(AND(P$5&gt;=$C34,P$5&lt;=$D34),1,0)</x:f>
        <x:v>0</x:v>
      </x:c>
      <x:c r="Q34" s="17" t="n">
        <x:f>IF(AND(Q$5&gt;=$C34,Q$5&lt;=$D34),1,0)</x:f>
        <x:v>0</x:v>
      </x:c>
      <x:c r="R34" s="17" t="n">
        <x:f>IF(AND(R$5&gt;=$C34,R$5&lt;=$D34),1,0)</x:f>
        <x:v>0</x:v>
      </x:c>
      <x:c r="S34" s="17" t="n">
        <x:f>IF(AND(S$5&gt;=$C34,S$5&lt;=$D34),1,0)</x:f>
        <x:v>0</x:v>
      </x:c>
      <x:c r="T34" s="17" t="n">
        <x:f>IF(AND(T$5&gt;=$C34,T$5&lt;=$D34),1,0)</x:f>
        <x:v>0</x:v>
      </x:c>
      <x:c r="U34" s="17" t="n">
        <x:f>IF(AND(U$5&gt;=$C34,U$5&lt;=$D34),1,0)</x:f>
        <x:v>0</x:v>
      </x:c>
    </x:row>
    <x:row r="35">
      <x:c r="A35" s="11" t="str">
        <x:v>A-030</x:v>
      </x:c>
      <x:c r="B35" s="11" t="str">
        <x:v>Run claim, link and similarity checks for assets 01-06</x:v>
      </x:c>
      <x:c r="C35" s="11" t="n">
        <x:v>10</x:v>
      </x:c>
      <x:c r="D35" s="11" t="n">
        <x:v>10</x:v>
      </x:c>
      <x:c r="E35" s="11" t="str">
        <x:v>QA</x:v>
      </x:c>
      <x:c r="F35" s="17" t="n">
        <x:f>IF(AND(F$5&gt;=$C35,F$5&lt;=$D35),1,0)</x:f>
        <x:v>0</x:v>
      </x:c>
      <x:c r="G35" s="17" t="n">
        <x:f>IF(AND(G$5&gt;=$C35,G$5&lt;=$D35),1,0)</x:f>
        <x:v>0</x:v>
      </x:c>
      <x:c r="H35" s="17" t="n">
        <x:f>IF(AND(H$5&gt;=$C35,H$5&lt;=$D35),1,0)</x:f>
        <x:v>0</x:v>
      </x:c>
      <x:c r="I35" s="17" t="n">
        <x:f>IF(AND(I$5&gt;=$C35,I$5&lt;=$D35),1,0)</x:f>
        <x:v>0</x:v>
      </x:c>
      <x:c r="J35" s="17" t="n">
        <x:f>IF(AND(J$5&gt;=$C35,J$5&lt;=$D35),1,0)</x:f>
        <x:v>0</x:v>
      </x:c>
      <x:c r="K35" s="17" t="n">
        <x:f>IF(AND(K$5&gt;=$C35,K$5&lt;=$D35),1,0)</x:f>
        <x:v>0</x:v>
      </x:c>
      <x:c r="L35" s="17" t="n">
        <x:f>IF(AND(L$5&gt;=$C35,L$5&lt;=$D35),1,0)</x:f>
        <x:v>0</x:v>
      </x:c>
      <x:c r="M35" s="17" t="n">
        <x:f>IF(AND(M$5&gt;=$C35,M$5&lt;=$D35),1,0)</x:f>
        <x:v>0</x:v>
      </x:c>
      <x:c r="N35" s="17" t="n">
        <x:f>IF(AND(N$5&gt;=$C35,N$5&lt;=$D35),1,0)</x:f>
        <x:v>0</x:v>
      </x:c>
      <x:c r="O35" s="17" t="n">
        <x:f>IF(AND(O$5&gt;=$C35,O$5&lt;=$D35),1,0)</x:f>
        <x:v>1</x:v>
      </x:c>
      <x:c r="P35" s="17" t="n">
        <x:f>IF(AND(P$5&gt;=$C35,P$5&lt;=$D35),1,0)</x:f>
        <x:v>0</x:v>
      </x:c>
      <x:c r="Q35" s="17" t="n">
        <x:f>IF(AND(Q$5&gt;=$C35,Q$5&lt;=$D35),1,0)</x:f>
        <x:v>0</x:v>
      </x:c>
      <x:c r="R35" s="17" t="n">
        <x:f>IF(AND(R$5&gt;=$C35,R$5&lt;=$D35),1,0)</x:f>
        <x:v>0</x:v>
      </x:c>
      <x:c r="S35" s="17" t="n">
        <x:f>IF(AND(S$5&gt;=$C35,S$5&lt;=$D35),1,0)</x:f>
        <x:v>0</x:v>
      </x:c>
      <x:c r="T35" s="17" t="n">
        <x:f>IF(AND(T$5&gt;=$C35,T$5&lt;=$D35),1,0)</x:f>
        <x:v>0</x:v>
      </x:c>
      <x:c r="U35" s="17" t="n">
        <x:f>IF(AND(U$5&gt;=$C35,U$5&lt;=$D35),1,0)</x:f>
        <x:v>0</x:v>
      </x:c>
    </x:row>
    <x:row r="36">
      <x:c r="A36" s="11" t="str">
        <x:v>A-031</x:v>
      </x:c>
      <x:c r="B36" s="11" t="str">
        <x:v>Editorially review content assets 07-11</x:v>
      </x:c>
      <x:c r="C36" s="11" t="n">
        <x:v>11</x:v>
      </x:c>
      <x:c r="D36" s="11" t="n">
        <x:v>11</x:v>
      </x:c>
      <x:c r="E36" s="11" t="str">
        <x:v>Content Lead</x:v>
      </x:c>
      <x:c r="F36" s="17" t="n">
        <x:f>IF(AND(F$5&gt;=$C36,F$5&lt;=$D36),1,0)</x:f>
        <x:v>0</x:v>
      </x:c>
      <x:c r="G36" s="17" t="n">
        <x:f>IF(AND(G$5&gt;=$C36,G$5&lt;=$D36),1,0)</x:f>
        <x:v>0</x:v>
      </x:c>
      <x:c r="H36" s="17" t="n">
        <x:f>IF(AND(H$5&gt;=$C36,H$5&lt;=$D36),1,0)</x:f>
        <x:v>0</x:v>
      </x:c>
      <x:c r="I36" s="17" t="n">
        <x:f>IF(AND(I$5&gt;=$C36,I$5&lt;=$D36),1,0)</x:f>
        <x:v>0</x:v>
      </x:c>
      <x:c r="J36" s="17" t="n">
        <x:f>IF(AND(J$5&gt;=$C36,J$5&lt;=$D36),1,0)</x:f>
        <x:v>0</x:v>
      </x:c>
      <x:c r="K36" s="17" t="n">
        <x:f>IF(AND(K$5&gt;=$C36,K$5&lt;=$D36),1,0)</x:f>
        <x:v>0</x:v>
      </x:c>
      <x:c r="L36" s="17" t="n">
        <x:f>IF(AND(L$5&gt;=$C36,L$5&lt;=$D36),1,0)</x:f>
        <x:v>0</x:v>
      </x:c>
      <x:c r="M36" s="17" t="n">
        <x:f>IF(AND(M$5&gt;=$C36,M$5&lt;=$D36),1,0)</x:f>
        <x:v>0</x:v>
      </x:c>
      <x:c r="N36" s="17" t="n">
        <x:f>IF(AND(N$5&gt;=$C36,N$5&lt;=$D36),1,0)</x:f>
        <x:v>0</x:v>
      </x:c>
      <x:c r="O36" s="17" t="n">
        <x:f>IF(AND(O$5&gt;=$C36,O$5&lt;=$D36),1,0)</x:f>
        <x:v>0</x:v>
      </x:c>
      <x:c r="P36" s="17" t="n">
        <x:f>IF(AND(P$5&gt;=$C36,P$5&lt;=$D36),1,0)</x:f>
        <x:v>1</x:v>
      </x:c>
      <x:c r="Q36" s="17" t="n">
        <x:f>IF(AND(Q$5&gt;=$C36,Q$5&lt;=$D36),1,0)</x:f>
        <x:v>0</x:v>
      </x:c>
      <x:c r="R36" s="17" t="n">
        <x:f>IF(AND(R$5&gt;=$C36,R$5&lt;=$D36),1,0)</x:f>
        <x:v>0</x:v>
      </x:c>
      <x:c r="S36" s="17" t="n">
        <x:f>IF(AND(S$5&gt;=$C36,S$5&lt;=$D36),1,0)</x:f>
        <x:v>0</x:v>
      </x:c>
      <x:c r="T36" s="17" t="n">
        <x:f>IF(AND(T$5&gt;=$C36,T$5&lt;=$D36),1,0)</x:f>
        <x:v>0</x:v>
      </x:c>
      <x:c r="U36" s="17" t="n">
        <x:f>IF(AND(U$5&gt;=$C36,U$5&lt;=$D36),1,0)</x:f>
        <x:v>0</x:v>
      </x:c>
    </x:row>
    <x:row r="37">
      <x:c r="A37" s="11" t="str">
        <x:v>A-032</x:v>
      </x:c>
      <x:c r="B37" s="11" t="str">
        <x:v>Editorially review content assets 12-15</x:v>
      </x:c>
      <x:c r="C37" s="11" t="n">
        <x:v>11</x:v>
      </x:c>
      <x:c r="D37" s="11" t="n">
        <x:v>11</x:v>
      </x:c>
      <x:c r="E37" s="11" t="str">
        <x:v>Content Lead</x:v>
      </x:c>
      <x:c r="F37" s="17" t="n">
        <x:f>IF(AND(F$5&gt;=$C37,F$5&lt;=$D37),1,0)</x:f>
        <x:v>0</x:v>
      </x:c>
      <x:c r="G37" s="17" t="n">
        <x:f>IF(AND(G$5&gt;=$C37,G$5&lt;=$D37),1,0)</x:f>
        <x:v>0</x:v>
      </x:c>
      <x:c r="H37" s="17" t="n">
        <x:f>IF(AND(H$5&gt;=$C37,H$5&lt;=$D37),1,0)</x:f>
        <x:v>0</x:v>
      </x:c>
      <x:c r="I37" s="17" t="n">
        <x:f>IF(AND(I$5&gt;=$C37,I$5&lt;=$D37),1,0)</x:f>
        <x:v>0</x:v>
      </x:c>
      <x:c r="J37" s="17" t="n">
        <x:f>IF(AND(J$5&gt;=$C37,J$5&lt;=$D37),1,0)</x:f>
        <x:v>0</x:v>
      </x:c>
      <x:c r="K37" s="17" t="n">
        <x:f>IF(AND(K$5&gt;=$C37,K$5&lt;=$D37),1,0)</x:f>
        <x:v>0</x:v>
      </x:c>
      <x:c r="L37" s="17" t="n">
        <x:f>IF(AND(L$5&gt;=$C37,L$5&lt;=$D37),1,0)</x:f>
        <x:v>0</x:v>
      </x:c>
      <x:c r="M37" s="17" t="n">
        <x:f>IF(AND(M$5&gt;=$C37,M$5&lt;=$D37),1,0)</x:f>
        <x:v>0</x:v>
      </x:c>
      <x:c r="N37" s="17" t="n">
        <x:f>IF(AND(N$5&gt;=$C37,N$5&lt;=$D37),1,0)</x:f>
        <x:v>0</x:v>
      </x:c>
      <x:c r="O37" s="17" t="n">
        <x:f>IF(AND(O$5&gt;=$C37,O$5&lt;=$D37),1,0)</x:f>
        <x:v>0</x:v>
      </x:c>
      <x:c r="P37" s="17" t="n">
        <x:f>IF(AND(P$5&gt;=$C37,P$5&lt;=$D37),1,0)</x:f>
        <x:v>1</x:v>
      </x:c>
      <x:c r="Q37" s="17" t="n">
        <x:f>IF(AND(Q$5&gt;=$C37,Q$5&lt;=$D37),1,0)</x:f>
        <x:v>0</x:v>
      </x:c>
      <x:c r="R37" s="17" t="n">
        <x:f>IF(AND(R$5&gt;=$C37,R$5&lt;=$D37),1,0)</x:f>
        <x:v>0</x:v>
      </x:c>
      <x:c r="S37" s="17" t="n">
        <x:f>IF(AND(S$5&gt;=$C37,S$5&lt;=$D37),1,0)</x:f>
        <x:v>0</x:v>
      </x:c>
      <x:c r="T37" s="17" t="n">
        <x:f>IF(AND(T$5&gt;=$C37,T$5&lt;=$D37),1,0)</x:f>
        <x:v>0</x:v>
      </x:c>
      <x:c r="U37" s="17" t="n">
        <x:f>IF(AND(U$5&gt;=$C37,U$5&lt;=$D37),1,0)</x:f>
        <x:v>0</x:v>
      </x:c>
    </x:row>
    <x:row r="38">
      <x:c r="A38" s="11" t="str">
        <x:v>A-033</x:v>
      </x:c>
      <x:c r="B38" s="11" t="str">
        <x:v>Run claim, link and similarity checks for assets 07-15</x:v>
      </x:c>
      <x:c r="C38" s="11" t="n">
        <x:v>11</x:v>
      </x:c>
      <x:c r="D38" s="11" t="n">
        <x:v>11</x:v>
      </x:c>
      <x:c r="E38" s="11" t="str">
        <x:v>QA</x:v>
      </x:c>
      <x:c r="F38" s="17" t="n">
        <x:f>IF(AND(F$5&gt;=$C38,F$5&lt;=$D38),1,0)</x:f>
        <x:v>0</x:v>
      </x:c>
      <x:c r="G38" s="17" t="n">
        <x:f>IF(AND(G$5&gt;=$C38,G$5&lt;=$D38),1,0)</x:f>
        <x:v>0</x:v>
      </x:c>
      <x:c r="H38" s="17" t="n">
        <x:f>IF(AND(H$5&gt;=$C38,H$5&lt;=$D38),1,0)</x:f>
        <x:v>0</x:v>
      </x:c>
      <x:c r="I38" s="17" t="n">
        <x:f>IF(AND(I$5&gt;=$C38,I$5&lt;=$D38),1,0)</x:f>
        <x:v>0</x:v>
      </x:c>
      <x:c r="J38" s="17" t="n">
        <x:f>IF(AND(J$5&gt;=$C38,J$5&lt;=$D38),1,0)</x:f>
        <x:v>0</x:v>
      </x:c>
      <x:c r="K38" s="17" t="n">
        <x:f>IF(AND(K$5&gt;=$C38,K$5&lt;=$D38),1,0)</x:f>
        <x:v>0</x:v>
      </x:c>
      <x:c r="L38" s="17" t="n">
        <x:f>IF(AND(L$5&gt;=$C38,L$5&lt;=$D38),1,0)</x:f>
        <x:v>0</x:v>
      </x:c>
      <x:c r="M38" s="17" t="n">
        <x:f>IF(AND(M$5&gt;=$C38,M$5&lt;=$D38),1,0)</x:f>
        <x:v>0</x:v>
      </x:c>
      <x:c r="N38" s="17" t="n">
        <x:f>IF(AND(N$5&gt;=$C38,N$5&lt;=$D38),1,0)</x:f>
        <x:v>0</x:v>
      </x:c>
      <x:c r="O38" s="17" t="n">
        <x:f>IF(AND(O$5&gt;=$C38,O$5&lt;=$D38),1,0)</x:f>
        <x:v>0</x:v>
      </x:c>
      <x:c r="P38" s="17" t="n">
        <x:f>IF(AND(P$5&gt;=$C38,P$5&lt;=$D38),1,0)</x:f>
        <x:v>1</x:v>
      </x:c>
      <x:c r="Q38" s="17" t="n">
        <x:f>IF(AND(Q$5&gt;=$C38,Q$5&lt;=$D38),1,0)</x:f>
        <x:v>0</x:v>
      </x:c>
      <x:c r="R38" s="17" t="n">
        <x:f>IF(AND(R$5&gt;=$C38,R$5&lt;=$D38),1,0)</x:f>
        <x:v>0</x:v>
      </x:c>
      <x:c r="S38" s="17" t="n">
        <x:f>IF(AND(S$5&gt;=$C38,S$5&lt;=$D38),1,0)</x:f>
        <x:v>0</x:v>
      </x:c>
      <x:c r="T38" s="17" t="n">
        <x:f>IF(AND(T$5&gt;=$C38,T$5&lt;=$D38),1,0)</x:f>
        <x:v>0</x:v>
      </x:c>
      <x:c r="U38" s="17" t="n">
        <x:f>IF(AND(U$5&gt;=$C38,U$5&lt;=$D38),1,0)</x:f>
        <x:v>0</x:v>
      </x:c>
    </x:row>
    <x:row r="39">
      <x:c r="A39" s="11" t="str">
        <x:v>A-034</x:v>
      </x:c>
      <x:c r="B39" s="11" t="str">
        <x:v>Editorially review content assets 16-20</x:v>
      </x:c>
      <x:c r="C39" s="11" t="n">
        <x:v>12</x:v>
      </x:c>
      <x:c r="D39" s="11" t="n">
        <x:v>12</x:v>
      </x:c>
      <x:c r="E39" s="11" t="str">
        <x:v>Content Lead</x:v>
      </x:c>
      <x:c r="F39" s="17" t="n">
        <x:f>IF(AND(F$5&gt;=$C39,F$5&lt;=$D39),1,0)</x:f>
        <x:v>0</x:v>
      </x:c>
      <x:c r="G39" s="17" t="n">
        <x:f>IF(AND(G$5&gt;=$C39,G$5&lt;=$D39),1,0)</x:f>
        <x:v>0</x:v>
      </x:c>
      <x:c r="H39" s="17" t="n">
        <x:f>IF(AND(H$5&gt;=$C39,H$5&lt;=$D39),1,0)</x:f>
        <x:v>0</x:v>
      </x:c>
      <x:c r="I39" s="17" t="n">
        <x:f>IF(AND(I$5&gt;=$C39,I$5&lt;=$D39),1,0)</x:f>
        <x:v>0</x:v>
      </x:c>
      <x:c r="J39" s="17" t="n">
        <x:f>IF(AND(J$5&gt;=$C39,J$5&lt;=$D39),1,0)</x:f>
        <x:v>0</x:v>
      </x:c>
      <x:c r="K39" s="17" t="n">
        <x:f>IF(AND(K$5&gt;=$C39,K$5&lt;=$D39),1,0)</x:f>
        <x:v>0</x:v>
      </x:c>
      <x:c r="L39" s="17" t="n">
        <x:f>IF(AND(L$5&gt;=$C39,L$5&lt;=$D39),1,0)</x:f>
        <x:v>0</x:v>
      </x:c>
      <x:c r="M39" s="17" t="n">
        <x:f>IF(AND(M$5&gt;=$C39,M$5&lt;=$D39),1,0)</x:f>
        <x:v>0</x:v>
      </x:c>
      <x:c r="N39" s="17" t="n">
        <x:f>IF(AND(N$5&gt;=$C39,N$5&lt;=$D39),1,0)</x:f>
        <x:v>0</x:v>
      </x:c>
      <x:c r="O39" s="17" t="n">
        <x:f>IF(AND(O$5&gt;=$C39,O$5&lt;=$D39),1,0)</x:f>
        <x:v>0</x:v>
      </x:c>
      <x:c r="P39" s="17" t="n">
        <x:f>IF(AND(P$5&gt;=$C39,P$5&lt;=$D39),1,0)</x:f>
        <x:v>0</x:v>
      </x:c>
      <x:c r="Q39" s="17" t="n">
        <x:f>IF(AND(Q$5&gt;=$C39,Q$5&lt;=$D39),1,0)</x:f>
        <x:v>1</x:v>
      </x:c>
      <x:c r="R39" s="17" t="n">
        <x:f>IF(AND(R$5&gt;=$C39,R$5&lt;=$D39),1,0)</x:f>
        <x:v>0</x:v>
      </x:c>
      <x:c r="S39" s="17" t="n">
        <x:f>IF(AND(S$5&gt;=$C39,S$5&lt;=$D39),1,0)</x:f>
        <x:v>0</x:v>
      </x:c>
      <x:c r="T39" s="17" t="n">
        <x:f>IF(AND(T$5&gt;=$C39,T$5&lt;=$D39),1,0)</x:f>
        <x:v>0</x:v>
      </x:c>
      <x:c r="U39" s="17" t="n">
        <x:f>IF(AND(U$5&gt;=$C39,U$5&lt;=$D39),1,0)</x:f>
        <x:v>0</x:v>
      </x:c>
    </x:row>
    <x:row r="40">
      <x:c r="A40" s="11" t="str">
        <x:v>A-035</x:v>
      </x:c>
      <x:c r="B40" s="11" t="str">
        <x:v>Validate accessibility, reading flow and calls to action</x:v>
      </x:c>
      <x:c r="C40" s="11" t="n">
        <x:v>12</x:v>
      </x:c>
      <x:c r="D40" s="11" t="n">
        <x:v>12</x:v>
      </x:c>
      <x:c r="E40" s="11" t="str">
        <x:v>UX + Content</x:v>
      </x:c>
      <x:c r="F40" s="17" t="n">
        <x:f>IF(AND(F$5&gt;=$C40,F$5&lt;=$D40),1,0)</x:f>
        <x:v>0</x:v>
      </x:c>
      <x:c r="G40" s="17" t="n">
        <x:f>IF(AND(G$5&gt;=$C40,G$5&lt;=$D40),1,0)</x:f>
        <x:v>0</x:v>
      </x:c>
      <x:c r="H40" s="17" t="n">
        <x:f>IF(AND(H$5&gt;=$C40,H$5&lt;=$D40),1,0)</x:f>
        <x:v>0</x:v>
      </x:c>
      <x:c r="I40" s="17" t="n">
        <x:f>IF(AND(I$5&gt;=$C40,I$5&lt;=$D40),1,0)</x:f>
        <x:v>0</x:v>
      </x:c>
      <x:c r="J40" s="17" t="n">
        <x:f>IF(AND(J$5&gt;=$C40,J$5&lt;=$D40),1,0)</x:f>
        <x:v>0</x:v>
      </x:c>
      <x:c r="K40" s="17" t="n">
        <x:f>IF(AND(K$5&gt;=$C40,K$5&lt;=$D40),1,0)</x:f>
        <x:v>0</x:v>
      </x:c>
      <x:c r="L40" s="17" t="n">
        <x:f>IF(AND(L$5&gt;=$C40,L$5&lt;=$D40),1,0)</x:f>
        <x:v>0</x:v>
      </x:c>
      <x:c r="M40" s="17" t="n">
        <x:f>IF(AND(M$5&gt;=$C40,M$5&lt;=$D40),1,0)</x:f>
        <x:v>0</x:v>
      </x:c>
      <x:c r="N40" s="17" t="n">
        <x:f>IF(AND(N$5&gt;=$C40,N$5&lt;=$D40),1,0)</x:f>
        <x:v>0</x:v>
      </x:c>
      <x:c r="O40" s="17" t="n">
        <x:f>IF(AND(O$5&gt;=$C40,O$5&lt;=$D40),1,0)</x:f>
        <x:v>0</x:v>
      </x:c>
      <x:c r="P40" s="17" t="n">
        <x:f>IF(AND(P$5&gt;=$C40,P$5&lt;=$D40),1,0)</x:f>
        <x:v>0</x:v>
      </x:c>
      <x:c r="Q40" s="17" t="n">
        <x:f>IF(AND(Q$5&gt;=$C40,Q$5&lt;=$D40),1,0)</x:f>
        <x:v>1</x:v>
      </x:c>
      <x:c r="R40" s="17" t="n">
        <x:f>IF(AND(R$5&gt;=$C40,R$5&lt;=$D40),1,0)</x:f>
        <x:v>0</x:v>
      </x:c>
      <x:c r="S40" s="17" t="n">
        <x:f>IF(AND(S$5&gt;=$C40,S$5&lt;=$D40),1,0)</x:f>
        <x:v>0</x:v>
      </x:c>
      <x:c r="T40" s="17" t="n">
        <x:f>IF(AND(T$5&gt;=$C40,T$5&lt;=$D40),1,0)</x:f>
        <x:v>0</x:v>
      </x:c>
      <x:c r="U40" s="17" t="n">
        <x:f>IF(AND(U$5&gt;=$C40,U$5&lt;=$D40),1,0)</x:f>
        <x:v>0</x:v>
      </x:c>
    </x:row>
    <x:row r="41">
      <x:c r="A41" s="11" t="str">
        <x:v>A-036</x:v>
      </x:c>
      <x:c r="B41" s="11" t="str">
        <x:v>Complete Gate 2 content and implementation decision</x:v>
      </x:c>
      <x:c r="C41" s="11" t="n">
        <x:v>12</x:v>
      </x:c>
      <x:c r="D41" s="11" t="n">
        <x:v>12</x:v>
      </x:c>
      <x:c r="E41" s="11" t="str">
        <x:v>Agency admin + client</x:v>
      </x:c>
      <x:c r="F41" s="17" t="n">
        <x:f>IF(AND(F$5&gt;=$C41,F$5&lt;=$D41),1,0)</x:f>
        <x:v>0</x:v>
      </x:c>
      <x:c r="G41" s="17" t="n">
        <x:f>IF(AND(G$5&gt;=$C41,G$5&lt;=$D41),1,0)</x:f>
        <x:v>0</x:v>
      </x:c>
      <x:c r="H41" s="17" t="n">
        <x:f>IF(AND(H$5&gt;=$C41,H$5&lt;=$D41),1,0)</x:f>
        <x:v>0</x:v>
      </x:c>
      <x:c r="I41" s="17" t="n">
        <x:f>IF(AND(I$5&gt;=$C41,I$5&lt;=$D41),1,0)</x:f>
        <x:v>0</x:v>
      </x:c>
      <x:c r="J41" s="17" t="n">
        <x:f>IF(AND(J$5&gt;=$C41,J$5&lt;=$D41),1,0)</x:f>
        <x:v>0</x:v>
      </x:c>
      <x:c r="K41" s="17" t="n">
        <x:f>IF(AND(K$5&gt;=$C41,K$5&lt;=$D41),1,0)</x:f>
        <x:v>0</x:v>
      </x:c>
      <x:c r="L41" s="17" t="n">
        <x:f>IF(AND(L$5&gt;=$C41,L$5&lt;=$D41),1,0)</x:f>
        <x:v>0</x:v>
      </x:c>
      <x:c r="M41" s="17" t="n">
        <x:f>IF(AND(M$5&gt;=$C41,M$5&lt;=$D41),1,0)</x:f>
        <x:v>0</x:v>
      </x:c>
      <x:c r="N41" s="17" t="n">
        <x:f>IF(AND(N$5&gt;=$C41,N$5&lt;=$D41),1,0)</x:f>
        <x:v>0</x:v>
      </x:c>
      <x:c r="O41" s="17" t="n">
        <x:f>IF(AND(O$5&gt;=$C41,O$5&lt;=$D41),1,0)</x:f>
        <x:v>0</x:v>
      </x:c>
      <x:c r="P41" s="17" t="n">
        <x:f>IF(AND(P$5&gt;=$C41,P$5&lt;=$D41),1,0)</x:f>
        <x:v>0</x:v>
      </x:c>
      <x:c r="Q41" s="17" t="n">
        <x:f>IF(AND(Q$5&gt;=$C41,Q$5&lt;=$D41),1,0)</x:f>
        <x:v>1</x:v>
      </x:c>
      <x:c r="R41" s="17" t="n">
        <x:f>IF(AND(R$5&gt;=$C41,R$5&lt;=$D41),1,0)</x:f>
        <x:v>0</x:v>
      </x:c>
      <x:c r="S41" s="17" t="n">
        <x:f>IF(AND(S$5&gt;=$C41,S$5&lt;=$D41),1,0)</x:f>
        <x:v>0</x:v>
      </x:c>
      <x:c r="T41" s="17" t="n">
        <x:f>IF(AND(T$5&gt;=$C41,T$5&lt;=$D41),1,0)</x:f>
        <x:v>0</x:v>
      </x:c>
      <x:c r="U41" s="17" t="n">
        <x:f>IF(AND(U$5&gt;=$C41,U$5&lt;=$D41),1,0)</x:f>
        <x:v>0</x:v>
      </x:c>
    </x:row>
    <x:row r="42">
      <x:c r="A42" s="11" t="str">
        <x:v>A-037</x:v>
      </x:c>
      <x:c r="B42" s="11" t="str">
        <x:v>Map priority conversion journeys after GA4 validation</x:v>
      </x:c>
      <x:c r="C42" s="11" t="n">
        <x:v>13</x:v>
      </x:c>
      <x:c r="D42" s="11" t="n">
        <x:v>13</x:v>
      </x:c>
      <x:c r="E42" s="11" t="str">
        <x:v>UX + Analytics</x:v>
      </x:c>
      <x:c r="F42" s="17" t="n">
        <x:f>IF(AND(F$5&gt;=$C42,F$5&lt;=$D42),1,0)</x:f>
        <x:v>0</x:v>
      </x:c>
      <x:c r="G42" s="17" t="n">
        <x:f>IF(AND(G$5&gt;=$C42,G$5&lt;=$D42),1,0)</x:f>
        <x:v>0</x:v>
      </x:c>
      <x:c r="H42" s="17" t="n">
        <x:f>IF(AND(H$5&gt;=$C42,H$5&lt;=$D42),1,0)</x:f>
        <x:v>0</x:v>
      </x:c>
      <x:c r="I42" s="17" t="n">
        <x:f>IF(AND(I$5&gt;=$C42,I$5&lt;=$D42),1,0)</x:f>
        <x:v>0</x:v>
      </x:c>
      <x:c r="J42" s="17" t="n">
        <x:f>IF(AND(J$5&gt;=$C42,J$5&lt;=$D42),1,0)</x:f>
        <x:v>0</x:v>
      </x:c>
      <x:c r="K42" s="17" t="n">
        <x:f>IF(AND(K$5&gt;=$C42,K$5&lt;=$D42),1,0)</x:f>
        <x:v>0</x:v>
      </x:c>
      <x:c r="L42" s="17" t="n">
        <x:f>IF(AND(L$5&gt;=$C42,L$5&lt;=$D42),1,0)</x:f>
        <x:v>0</x:v>
      </x:c>
      <x:c r="M42" s="17" t="n">
        <x:f>IF(AND(M$5&gt;=$C42,M$5&lt;=$D42),1,0)</x:f>
        <x:v>0</x:v>
      </x:c>
      <x:c r="N42" s="17" t="n">
        <x:f>IF(AND(N$5&gt;=$C42,N$5&lt;=$D42),1,0)</x:f>
        <x:v>0</x:v>
      </x:c>
      <x:c r="O42" s="17" t="n">
        <x:f>IF(AND(O$5&gt;=$C42,O$5&lt;=$D42),1,0)</x:f>
        <x:v>0</x:v>
      </x:c>
      <x:c r="P42" s="17" t="n">
        <x:f>IF(AND(P$5&gt;=$C42,P$5&lt;=$D42),1,0)</x:f>
        <x:v>0</x:v>
      </x:c>
      <x:c r="Q42" s="17" t="n">
        <x:f>IF(AND(Q$5&gt;=$C42,Q$5&lt;=$D42),1,0)</x:f>
        <x:v>0</x:v>
      </x:c>
      <x:c r="R42" s="17" t="n">
        <x:f>IF(AND(R$5&gt;=$C42,R$5&lt;=$D42),1,0)</x:f>
        <x:v>1</x:v>
      </x:c>
      <x:c r="S42" s="17" t="n">
        <x:f>IF(AND(S$5&gt;=$C42,S$5&lt;=$D42),1,0)</x:f>
        <x:v>0</x:v>
      </x:c>
      <x:c r="T42" s="17" t="n">
        <x:f>IF(AND(T$5&gt;=$C42,T$5&lt;=$D42),1,0)</x:f>
        <x:v>0</x:v>
      </x:c>
      <x:c r="U42" s="17" t="n">
        <x:f>IF(AND(U$5&gt;=$C42,U$5&lt;=$D42),1,0)</x:f>
        <x:v>0</x:v>
      </x:c>
    </x:row>
    <x:row r="43">
      <x:c r="A43" s="11" t="str">
        <x:v>A-038</x:v>
      </x:c>
      <x:c r="B43" s="11" t="str">
        <x:v>Create an evidence-supported experiment backlog</x:v>
      </x:c>
      <x:c r="C43" s="11" t="n">
        <x:v>13</x:v>
      </x:c>
      <x:c r="D43" s="11" t="n">
        <x:v>13</x:v>
      </x:c>
      <x:c r="E43" s="11" t="str">
        <x:v>UX + Analytics</x:v>
      </x:c>
      <x:c r="F43" s="17" t="n">
        <x:f>IF(AND(F$5&gt;=$C43,F$5&lt;=$D43),1,0)</x:f>
        <x:v>0</x:v>
      </x:c>
      <x:c r="G43" s="17" t="n">
        <x:f>IF(AND(G$5&gt;=$C43,G$5&lt;=$D43),1,0)</x:f>
        <x:v>0</x:v>
      </x:c>
      <x:c r="H43" s="17" t="n">
        <x:f>IF(AND(H$5&gt;=$C43,H$5&lt;=$D43),1,0)</x:f>
        <x:v>0</x:v>
      </x:c>
      <x:c r="I43" s="17" t="n">
        <x:f>IF(AND(I$5&gt;=$C43,I$5&lt;=$D43),1,0)</x:f>
        <x:v>0</x:v>
      </x:c>
      <x:c r="J43" s="17" t="n">
        <x:f>IF(AND(J$5&gt;=$C43,J$5&lt;=$D43),1,0)</x:f>
        <x:v>0</x:v>
      </x:c>
      <x:c r="K43" s="17" t="n">
        <x:f>IF(AND(K$5&gt;=$C43,K$5&lt;=$D43),1,0)</x:f>
        <x:v>0</x:v>
      </x:c>
      <x:c r="L43" s="17" t="n">
        <x:f>IF(AND(L$5&gt;=$C43,L$5&lt;=$D43),1,0)</x:f>
        <x:v>0</x:v>
      </x:c>
      <x:c r="M43" s="17" t="n">
        <x:f>IF(AND(M$5&gt;=$C43,M$5&lt;=$D43),1,0)</x:f>
        <x:v>0</x:v>
      </x:c>
      <x:c r="N43" s="17" t="n">
        <x:f>IF(AND(N$5&gt;=$C43,N$5&lt;=$D43),1,0)</x:f>
        <x:v>0</x:v>
      </x:c>
      <x:c r="O43" s="17" t="n">
        <x:f>IF(AND(O$5&gt;=$C43,O$5&lt;=$D43),1,0)</x:f>
        <x:v>0</x:v>
      </x:c>
      <x:c r="P43" s="17" t="n">
        <x:f>IF(AND(P$5&gt;=$C43,P$5&lt;=$D43),1,0)</x:f>
        <x:v>0</x:v>
      </x:c>
      <x:c r="Q43" s="17" t="n">
        <x:f>IF(AND(Q$5&gt;=$C43,Q$5&lt;=$D43),1,0)</x:f>
        <x:v>0</x:v>
      </x:c>
      <x:c r="R43" s="17" t="n">
        <x:f>IF(AND(R$5&gt;=$C43,R$5&lt;=$D43),1,0)</x:f>
        <x:v>1</x:v>
      </x:c>
      <x:c r="S43" s="17" t="n">
        <x:f>IF(AND(S$5&gt;=$C43,S$5&lt;=$D43),1,0)</x:f>
        <x:v>0</x:v>
      </x:c>
      <x:c r="T43" s="17" t="n">
        <x:f>IF(AND(T$5&gt;=$C43,T$5&lt;=$D43),1,0)</x:f>
        <x:v>0</x:v>
      </x:c>
      <x:c r="U43" s="17" t="n">
        <x:f>IF(AND(U$5&gt;=$C43,U$5&lt;=$D43),1,0)</x:f>
        <x:v>0</x:v>
      </x:c>
    </x:row>
    <x:row r="44">
      <x:c r="A44" s="11" t="str">
        <x:v>A-039</x:v>
      </x:c>
      <x:c r="B44" s="11" t="str">
        <x:v>Review forms, contact routes and mobile interaction states</x:v>
      </x:c>
      <x:c r="C44" s="11" t="n">
        <x:v>13</x:v>
      </x:c>
      <x:c r="D44" s="11" t="n">
        <x:v>13</x:v>
      </x:c>
      <x:c r="E44" s="11" t="str">
        <x:v>UX + QA</x:v>
      </x:c>
      <x:c r="F44" s="17" t="n">
        <x:f>IF(AND(F$5&gt;=$C44,F$5&lt;=$D44),1,0)</x:f>
        <x:v>0</x:v>
      </x:c>
      <x:c r="G44" s="17" t="n">
        <x:f>IF(AND(G$5&gt;=$C44,G$5&lt;=$D44),1,0)</x:f>
        <x:v>0</x:v>
      </x:c>
      <x:c r="H44" s="17" t="n">
        <x:f>IF(AND(H$5&gt;=$C44,H$5&lt;=$D44),1,0)</x:f>
        <x:v>0</x:v>
      </x:c>
      <x:c r="I44" s="17" t="n">
        <x:f>IF(AND(I$5&gt;=$C44,I$5&lt;=$D44),1,0)</x:f>
        <x:v>0</x:v>
      </x:c>
      <x:c r="J44" s="17" t="n">
        <x:f>IF(AND(J$5&gt;=$C44,J$5&lt;=$D44),1,0)</x:f>
        <x:v>0</x:v>
      </x:c>
      <x:c r="K44" s="17" t="n">
        <x:f>IF(AND(K$5&gt;=$C44,K$5&lt;=$D44),1,0)</x:f>
        <x:v>0</x:v>
      </x:c>
      <x:c r="L44" s="17" t="n">
        <x:f>IF(AND(L$5&gt;=$C44,L$5&lt;=$D44),1,0)</x:f>
        <x:v>0</x:v>
      </x:c>
      <x:c r="M44" s="17" t="n">
        <x:f>IF(AND(M$5&gt;=$C44,M$5&lt;=$D44),1,0)</x:f>
        <x:v>0</x:v>
      </x:c>
      <x:c r="N44" s="17" t="n">
        <x:f>IF(AND(N$5&gt;=$C44,N$5&lt;=$D44),1,0)</x:f>
        <x:v>0</x:v>
      </x:c>
      <x:c r="O44" s="17" t="n">
        <x:f>IF(AND(O$5&gt;=$C44,O$5&lt;=$D44),1,0)</x:f>
        <x:v>0</x:v>
      </x:c>
      <x:c r="P44" s="17" t="n">
        <x:f>IF(AND(P$5&gt;=$C44,P$5&lt;=$D44),1,0)</x:f>
        <x:v>0</x:v>
      </x:c>
      <x:c r="Q44" s="17" t="n">
        <x:f>IF(AND(Q$5&gt;=$C44,Q$5&lt;=$D44),1,0)</x:f>
        <x:v>0</x:v>
      </x:c>
      <x:c r="R44" s="17" t="n">
        <x:f>IF(AND(R$5&gt;=$C44,R$5&lt;=$D44),1,0)</x:f>
        <x:v>1</x:v>
      </x:c>
      <x:c r="S44" s="17" t="n">
        <x:f>IF(AND(S$5&gt;=$C44,S$5&lt;=$D44),1,0)</x:f>
        <x:v>0</x:v>
      </x:c>
      <x:c r="T44" s="17" t="n">
        <x:f>IF(AND(T$5&gt;=$C44,T$5&lt;=$D44),1,0)</x:f>
        <x:v>0</x:v>
      </x:c>
      <x:c r="U44" s="17" t="n">
        <x:f>IF(AND(U$5&gt;=$C44,U$5&lt;=$D44),1,0)</x:f>
        <x:v>0</x:v>
      </x:c>
    </x:row>
    <x:row r="45">
      <x:c r="A45" s="11" t="str">
        <x:v>A-040</x:v>
      </x:c>
      <x:c r="B45" s="11" t="str">
        <x:v>Implement approved redirects and canonicals in staging only</x:v>
      </x:c>
      <x:c r="C45" s="11" t="n">
        <x:v>14</x:v>
      </x:c>
      <x:c r="D45" s="11" t="n">
        <x:v>14</x:v>
      </x:c>
      <x:c r="E45" s="11" t="str">
        <x:v>Engineering</x:v>
      </x:c>
      <x:c r="F45" s="17" t="n">
        <x:f>IF(AND(F$5&gt;=$C45,F$5&lt;=$D45),1,0)</x:f>
        <x:v>0</x:v>
      </x:c>
      <x:c r="G45" s="17" t="n">
        <x:f>IF(AND(G$5&gt;=$C45,G$5&lt;=$D45),1,0)</x:f>
        <x:v>0</x:v>
      </x:c>
      <x:c r="H45" s="17" t="n">
        <x:f>IF(AND(H$5&gt;=$C45,H$5&lt;=$D45),1,0)</x:f>
        <x:v>0</x:v>
      </x:c>
      <x:c r="I45" s="17" t="n">
        <x:f>IF(AND(I$5&gt;=$C45,I$5&lt;=$D45),1,0)</x:f>
        <x:v>0</x:v>
      </x:c>
      <x:c r="J45" s="17" t="n">
        <x:f>IF(AND(J$5&gt;=$C45,J$5&lt;=$D45),1,0)</x:f>
        <x:v>0</x:v>
      </x:c>
      <x:c r="K45" s="17" t="n">
        <x:f>IF(AND(K$5&gt;=$C45,K$5&lt;=$D45),1,0)</x:f>
        <x:v>0</x:v>
      </x:c>
      <x:c r="L45" s="17" t="n">
        <x:f>IF(AND(L$5&gt;=$C45,L$5&lt;=$D45),1,0)</x:f>
        <x:v>0</x:v>
      </x:c>
      <x:c r="M45" s="17" t="n">
        <x:f>IF(AND(M$5&gt;=$C45,M$5&lt;=$D45),1,0)</x:f>
        <x:v>0</x:v>
      </x:c>
      <x:c r="N45" s="17" t="n">
        <x:f>IF(AND(N$5&gt;=$C45,N$5&lt;=$D45),1,0)</x:f>
        <x:v>0</x:v>
      </x:c>
      <x:c r="O45" s="17" t="n">
        <x:f>IF(AND(O$5&gt;=$C45,O$5&lt;=$D45),1,0)</x:f>
        <x:v>0</x:v>
      </x:c>
      <x:c r="P45" s="17" t="n">
        <x:f>IF(AND(P$5&gt;=$C45,P$5&lt;=$D45),1,0)</x:f>
        <x:v>0</x:v>
      </x:c>
      <x:c r="Q45" s="17" t="n">
        <x:f>IF(AND(Q$5&gt;=$C45,Q$5&lt;=$D45),1,0)</x:f>
        <x:v>0</x:v>
      </x:c>
      <x:c r="R45" s="17" t="n">
        <x:f>IF(AND(R$5&gt;=$C45,R$5&lt;=$D45),1,0)</x:f>
        <x:v>0</x:v>
      </x:c>
      <x:c r="S45" s="17" t="n">
        <x:f>IF(AND(S$5&gt;=$C45,S$5&lt;=$D45),1,0)</x:f>
        <x:v>1</x:v>
      </x:c>
      <x:c r="T45" s="17" t="n">
        <x:f>IF(AND(T$5&gt;=$C45,T$5&lt;=$D45),1,0)</x:f>
        <x:v>0</x:v>
      </x:c>
      <x:c r="U45" s="17" t="n">
        <x:f>IF(AND(U$5&gt;=$C45,U$5&lt;=$D45),1,0)</x:f>
        <x:v>0</x:v>
      </x:c>
    </x:row>
    <x:row r="46">
      <x:c r="A46" s="11" t="str">
        <x:v>A-041</x:v>
      </x:c>
      <x:c r="B46" s="11" t="str">
        <x:v>Implement approved metadata, headings and internal links</x:v>
      </x:c>
      <x:c r="C46" s="11" t="n">
        <x:v>14</x:v>
      </x:c>
      <x:c r="D46" s="11" t="n">
        <x:v>14</x:v>
      </x:c>
      <x:c r="E46" s="11" t="str">
        <x:v>Engineering</x:v>
      </x:c>
      <x:c r="F46" s="17" t="n">
        <x:f>IF(AND(F$5&gt;=$C46,F$5&lt;=$D46),1,0)</x:f>
        <x:v>0</x:v>
      </x:c>
      <x:c r="G46" s="17" t="n">
        <x:f>IF(AND(G$5&gt;=$C46,G$5&lt;=$D46),1,0)</x:f>
        <x:v>0</x:v>
      </x:c>
      <x:c r="H46" s="17" t="n">
        <x:f>IF(AND(H$5&gt;=$C46,H$5&lt;=$D46),1,0)</x:f>
        <x:v>0</x:v>
      </x:c>
      <x:c r="I46" s="17" t="n">
        <x:f>IF(AND(I$5&gt;=$C46,I$5&lt;=$D46),1,0)</x:f>
        <x:v>0</x:v>
      </x:c>
      <x:c r="J46" s="17" t="n">
        <x:f>IF(AND(J$5&gt;=$C46,J$5&lt;=$D46),1,0)</x:f>
        <x:v>0</x:v>
      </x:c>
      <x:c r="K46" s="17" t="n">
        <x:f>IF(AND(K$5&gt;=$C46,K$5&lt;=$D46),1,0)</x:f>
        <x:v>0</x:v>
      </x:c>
      <x:c r="L46" s="17" t="n">
        <x:f>IF(AND(L$5&gt;=$C46,L$5&lt;=$D46),1,0)</x:f>
        <x:v>0</x:v>
      </x:c>
      <x:c r="M46" s="17" t="n">
        <x:f>IF(AND(M$5&gt;=$C46,M$5&lt;=$D46),1,0)</x:f>
        <x:v>0</x:v>
      </x:c>
      <x:c r="N46" s="17" t="n">
        <x:f>IF(AND(N$5&gt;=$C46,N$5&lt;=$D46),1,0)</x:f>
        <x:v>0</x:v>
      </x:c>
      <x:c r="O46" s="17" t="n">
        <x:f>IF(AND(O$5&gt;=$C46,O$5&lt;=$D46),1,0)</x:f>
        <x:v>0</x:v>
      </x:c>
      <x:c r="P46" s="17" t="n">
        <x:f>IF(AND(P$5&gt;=$C46,P$5&lt;=$D46),1,0)</x:f>
        <x:v>0</x:v>
      </x:c>
      <x:c r="Q46" s="17" t="n">
        <x:f>IF(AND(Q$5&gt;=$C46,Q$5&lt;=$D46),1,0)</x:f>
        <x:v>0</x:v>
      </x:c>
      <x:c r="R46" s="17" t="n">
        <x:f>IF(AND(R$5&gt;=$C46,R$5&lt;=$D46),1,0)</x:f>
        <x:v>0</x:v>
      </x:c>
      <x:c r="S46" s="17" t="n">
        <x:f>IF(AND(S$5&gt;=$C46,S$5&lt;=$D46),1,0)</x:f>
        <x:v>1</x:v>
      </x:c>
      <x:c r="T46" s="17" t="n">
        <x:f>IF(AND(T$5&gt;=$C46,T$5&lt;=$D46),1,0)</x:f>
        <x:v>0</x:v>
      </x:c>
      <x:c r="U46" s="17" t="n">
        <x:f>IF(AND(U$5&gt;=$C46,U$5&lt;=$D46),1,0)</x:f>
        <x:v>0</x:v>
      </x:c>
    </x:row>
    <x:row r="47">
      <x:c r="A47" s="11" t="str">
        <x:v>A-042</x:v>
      </x:c>
      <x:c r="B47" s="11" t="str">
        <x:v>Deploy only approved page-specific schema candidates</x:v>
      </x:c>
      <x:c r="C47" s="11" t="n">
        <x:v>14</x:v>
      </x:c>
      <x:c r="D47" s="11" t="n">
        <x:v>14</x:v>
      </x:c>
      <x:c r="E47" s="11" t="str">
        <x:v>Engineering</x:v>
      </x:c>
      <x:c r="F47" s="17" t="n">
        <x:f>IF(AND(F$5&gt;=$C47,F$5&lt;=$D47),1,0)</x:f>
        <x:v>0</x:v>
      </x:c>
      <x:c r="G47" s="17" t="n">
        <x:f>IF(AND(G$5&gt;=$C47,G$5&lt;=$D47),1,0)</x:f>
        <x:v>0</x:v>
      </x:c>
      <x:c r="H47" s="17" t="n">
        <x:f>IF(AND(H$5&gt;=$C47,H$5&lt;=$D47),1,0)</x:f>
        <x:v>0</x:v>
      </x:c>
      <x:c r="I47" s="17" t="n">
        <x:f>IF(AND(I$5&gt;=$C47,I$5&lt;=$D47),1,0)</x:f>
        <x:v>0</x:v>
      </x:c>
      <x:c r="J47" s="17" t="n">
        <x:f>IF(AND(J$5&gt;=$C47,J$5&lt;=$D47),1,0)</x:f>
        <x:v>0</x:v>
      </x:c>
      <x:c r="K47" s="17" t="n">
        <x:f>IF(AND(K$5&gt;=$C47,K$5&lt;=$D47),1,0)</x:f>
        <x:v>0</x:v>
      </x:c>
      <x:c r="L47" s="17" t="n">
        <x:f>IF(AND(L$5&gt;=$C47,L$5&lt;=$D47),1,0)</x:f>
        <x:v>0</x:v>
      </x:c>
      <x:c r="M47" s="17" t="n">
        <x:f>IF(AND(M$5&gt;=$C47,M$5&lt;=$D47),1,0)</x:f>
        <x:v>0</x:v>
      </x:c>
      <x:c r="N47" s="17" t="n">
        <x:f>IF(AND(N$5&gt;=$C47,N$5&lt;=$D47),1,0)</x:f>
        <x:v>0</x:v>
      </x:c>
      <x:c r="O47" s="17" t="n">
        <x:f>IF(AND(O$5&gt;=$C47,O$5&lt;=$D47),1,0)</x:f>
        <x:v>0</x:v>
      </x:c>
      <x:c r="P47" s="17" t="n">
        <x:f>IF(AND(P$5&gt;=$C47,P$5&lt;=$D47),1,0)</x:f>
        <x:v>0</x:v>
      </x:c>
      <x:c r="Q47" s="17" t="n">
        <x:f>IF(AND(Q$5&gt;=$C47,Q$5&lt;=$D47),1,0)</x:f>
        <x:v>0</x:v>
      </x:c>
      <x:c r="R47" s="17" t="n">
        <x:f>IF(AND(R$5&gt;=$C47,R$5&lt;=$D47),1,0)</x:f>
        <x:v>0</x:v>
      </x:c>
      <x:c r="S47" s="17" t="n">
        <x:f>IF(AND(S$5&gt;=$C47,S$5&lt;=$D47),1,0)</x:f>
        <x:v>1</x:v>
      </x:c>
      <x:c r="T47" s="17" t="n">
        <x:f>IF(AND(T$5&gt;=$C47,T$5&lt;=$D47),1,0)</x:f>
        <x:v>0</x:v>
      </x:c>
      <x:c r="U47" s="17" t="n">
        <x:f>IF(AND(U$5&gt;=$C47,U$5&lt;=$D47),1,0)</x:f>
        <x:v>0</x:v>
      </x:c>
    </x:row>
    <x:row r="48">
      <x:c r="A48" s="11" t="str">
        <x:v>A-043</x:v>
      </x:c>
      <x:c r="B48" s="11" t="str">
        <x:v>Re-crawl staging and reconcile every normalized URL</x:v>
      </x:c>
      <x:c r="C48" s="11" t="n">
        <x:v>15</x:v>
      </x:c>
      <x:c r="D48" s="11" t="n">
        <x:v>15</x:v>
      </x:c>
      <x:c r="E48" s="11" t="str">
        <x:v>QA</x:v>
      </x:c>
      <x:c r="F48" s="17" t="n">
        <x:f>IF(AND(F$5&gt;=$C48,F$5&lt;=$D48),1,0)</x:f>
        <x:v>0</x:v>
      </x:c>
      <x:c r="G48" s="17" t="n">
        <x:f>IF(AND(G$5&gt;=$C48,G$5&lt;=$D48),1,0)</x:f>
        <x:v>0</x:v>
      </x:c>
      <x:c r="H48" s="17" t="n">
        <x:f>IF(AND(H$5&gt;=$C48,H$5&lt;=$D48),1,0)</x:f>
        <x:v>0</x:v>
      </x:c>
      <x:c r="I48" s="17" t="n">
        <x:f>IF(AND(I$5&gt;=$C48,I$5&lt;=$D48),1,0)</x:f>
        <x:v>0</x:v>
      </x:c>
      <x:c r="J48" s="17" t="n">
        <x:f>IF(AND(J$5&gt;=$C48,J$5&lt;=$D48),1,0)</x:f>
        <x:v>0</x:v>
      </x:c>
      <x:c r="K48" s="17" t="n">
        <x:f>IF(AND(K$5&gt;=$C48,K$5&lt;=$D48),1,0)</x:f>
        <x:v>0</x:v>
      </x:c>
      <x:c r="L48" s="17" t="n">
        <x:f>IF(AND(L$5&gt;=$C48,L$5&lt;=$D48),1,0)</x:f>
        <x:v>0</x:v>
      </x:c>
      <x:c r="M48" s="17" t="n">
        <x:f>IF(AND(M$5&gt;=$C48,M$5&lt;=$D48),1,0)</x:f>
        <x:v>0</x:v>
      </x:c>
      <x:c r="N48" s="17" t="n">
        <x:f>IF(AND(N$5&gt;=$C48,N$5&lt;=$D48),1,0)</x:f>
        <x:v>0</x:v>
      </x:c>
      <x:c r="O48" s="17" t="n">
        <x:f>IF(AND(O$5&gt;=$C48,O$5&lt;=$D48),1,0)</x:f>
        <x:v>0</x:v>
      </x:c>
      <x:c r="P48" s="17" t="n">
        <x:f>IF(AND(P$5&gt;=$C48,P$5&lt;=$D48),1,0)</x:f>
        <x:v>0</x:v>
      </x:c>
      <x:c r="Q48" s="17" t="n">
        <x:f>IF(AND(Q$5&gt;=$C48,Q$5&lt;=$D48),1,0)</x:f>
        <x:v>0</x:v>
      </x:c>
      <x:c r="R48" s="17" t="n">
        <x:f>IF(AND(R$5&gt;=$C48,R$5&lt;=$D48),1,0)</x:f>
        <x:v>0</x:v>
      </x:c>
      <x:c r="S48" s="17" t="n">
        <x:f>IF(AND(S$5&gt;=$C48,S$5&lt;=$D48),1,0)</x:f>
        <x:v>0</x:v>
      </x:c>
      <x:c r="T48" s="17" t="n">
        <x:f>IF(AND(T$5&gt;=$C48,T$5&lt;=$D48),1,0)</x:f>
        <x:v>1</x:v>
      </x:c>
      <x:c r="U48" s="17" t="n">
        <x:f>IF(AND(U$5&gt;=$C48,U$5&lt;=$D48),1,0)</x:f>
        <x:v>0</x:v>
      </x:c>
    </x:row>
    <x:row r="49">
      <x:c r="A49" s="11" t="str">
        <x:v>A-044</x:v>
      </x:c>
      <x:c r="B49" s="11" t="str">
        <x:v>Re-run link, redirect, canonical, schema and domain safety gates</x:v>
      </x:c>
      <x:c r="C49" s="11" t="n">
        <x:v>15</x:v>
      </x:c>
      <x:c r="D49" s="11" t="n">
        <x:v>15</x:v>
      </x:c>
      <x:c r="E49" s="11" t="str">
        <x:v>QA</x:v>
      </x:c>
      <x:c r="F49" s="17" t="n">
        <x:f>IF(AND(F$5&gt;=$C49,F$5&lt;=$D49),1,0)</x:f>
        <x:v>0</x:v>
      </x:c>
      <x:c r="G49" s="17" t="n">
        <x:f>IF(AND(G$5&gt;=$C49,G$5&lt;=$D49),1,0)</x:f>
        <x:v>0</x:v>
      </x:c>
      <x:c r="H49" s="17" t="n">
        <x:f>IF(AND(H$5&gt;=$C49,H$5&lt;=$D49),1,0)</x:f>
        <x:v>0</x:v>
      </x:c>
      <x:c r="I49" s="17" t="n">
        <x:f>IF(AND(I$5&gt;=$C49,I$5&lt;=$D49),1,0)</x:f>
        <x:v>0</x:v>
      </x:c>
      <x:c r="J49" s="17" t="n">
        <x:f>IF(AND(J$5&gt;=$C49,J$5&lt;=$D49),1,0)</x:f>
        <x:v>0</x:v>
      </x:c>
      <x:c r="K49" s="17" t="n">
        <x:f>IF(AND(K$5&gt;=$C49,K$5&lt;=$D49),1,0)</x:f>
        <x:v>0</x:v>
      </x:c>
      <x:c r="L49" s="17" t="n">
        <x:f>IF(AND(L$5&gt;=$C49,L$5&lt;=$D49),1,0)</x:f>
        <x:v>0</x:v>
      </x:c>
      <x:c r="M49" s="17" t="n">
        <x:f>IF(AND(M$5&gt;=$C49,M$5&lt;=$D49),1,0)</x:f>
        <x:v>0</x:v>
      </x:c>
      <x:c r="N49" s="17" t="n">
        <x:f>IF(AND(N$5&gt;=$C49,N$5&lt;=$D49),1,0)</x:f>
        <x:v>0</x:v>
      </x:c>
      <x:c r="O49" s="17" t="n">
        <x:f>IF(AND(O$5&gt;=$C49,O$5&lt;=$D49),1,0)</x:f>
        <x:v>0</x:v>
      </x:c>
      <x:c r="P49" s="17" t="n">
        <x:f>IF(AND(P$5&gt;=$C49,P$5&lt;=$D49),1,0)</x:f>
        <x:v>0</x:v>
      </x:c>
      <x:c r="Q49" s="17" t="n">
        <x:f>IF(AND(Q$5&gt;=$C49,Q$5&lt;=$D49),1,0)</x:f>
        <x:v>0</x:v>
      </x:c>
      <x:c r="R49" s="17" t="n">
        <x:f>IF(AND(R$5&gt;=$C49,R$5&lt;=$D49),1,0)</x:f>
        <x:v>0</x:v>
      </x:c>
      <x:c r="S49" s="17" t="n">
        <x:f>IF(AND(S$5&gt;=$C49,S$5&lt;=$D49),1,0)</x:f>
        <x:v>0</x:v>
      </x:c>
      <x:c r="T49" s="17" t="n">
        <x:f>IF(AND(T$5&gt;=$C49,T$5&lt;=$D49),1,0)</x:f>
        <x:v>1</x:v>
      </x:c>
      <x:c r="U49" s="17" t="n">
        <x:f>IF(AND(U$5&gt;=$C49,U$5&lt;=$D49),1,0)</x:f>
        <x:v>0</x:v>
      </x:c>
    </x:row>
    <x:row r="50">
      <x:c r="A50" s="11" t="str">
        <x:v>A-045</x:v>
      </x:c>
      <x:c r="B50" s="11" t="str">
        <x:v>Render and inspect XLSX, DOCX, PPTX, PDF and HTML outputs</x:v>
      </x:c>
      <x:c r="C50" s="11" t="n">
        <x:v>15</x:v>
      </x:c>
      <x:c r="D50" s="11" t="n">
        <x:v>15</x:v>
      </x:c>
      <x:c r="E50" s="11" t="str">
        <x:v>QA</x:v>
      </x:c>
      <x:c r="F50" s="17" t="n">
        <x:f>IF(AND(F$5&gt;=$C50,F$5&lt;=$D50),1,0)</x:f>
        <x:v>0</x:v>
      </x:c>
      <x:c r="G50" s="17" t="n">
        <x:f>IF(AND(G$5&gt;=$C50,G$5&lt;=$D50),1,0)</x:f>
        <x:v>0</x:v>
      </x:c>
      <x:c r="H50" s="17" t="n">
        <x:f>IF(AND(H$5&gt;=$C50,H$5&lt;=$D50),1,0)</x:f>
        <x:v>0</x:v>
      </x:c>
      <x:c r="I50" s="17" t="n">
        <x:f>IF(AND(I$5&gt;=$C50,I$5&lt;=$D50),1,0)</x:f>
        <x:v>0</x:v>
      </x:c>
      <x:c r="J50" s="17" t="n">
        <x:f>IF(AND(J$5&gt;=$C50,J$5&lt;=$D50),1,0)</x:f>
        <x:v>0</x:v>
      </x:c>
      <x:c r="K50" s="17" t="n">
        <x:f>IF(AND(K$5&gt;=$C50,K$5&lt;=$D50),1,0)</x:f>
        <x:v>0</x:v>
      </x:c>
      <x:c r="L50" s="17" t="n">
        <x:f>IF(AND(L$5&gt;=$C50,L$5&lt;=$D50),1,0)</x:f>
        <x:v>0</x:v>
      </x:c>
      <x:c r="M50" s="17" t="n">
        <x:f>IF(AND(M$5&gt;=$C50,M$5&lt;=$D50),1,0)</x:f>
        <x:v>0</x:v>
      </x:c>
      <x:c r="N50" s="17" t="n">
        <x:f>IF(AND(N$5&gt;=$C50,N$5&lt;=$D50),1,0)</x:f>
        <x:v>0</x:v>
      </x:c>
      <x:c r="O50" s="17" t="n">
        <x:f>IF(AND(O$5&gt;=$C50,O$5&lt;=$D50),1,0)</x:f>
        <x:v>0</x:v>
      </x:c>
      <x:c r="P50" s="17" t="n">
        <x:f>IF(AND(P$5&gt;=$C50,P$5&lt;=$D50),1,0)</x:f>
        <x:v>0</x:v>
      </x:c>
      <x:c r="Q50" s="17" t="n">
        <x:f>IF(AND(Q$5&gt;=$C50,Q$5&lt;=$D50),1,0)</x:f>
        <x:v>0</x:v>
      </x:c>
      <x:c r="R50" s="17" t="n">
        <x:f>IF(AND(R$5&gt;=$C50,R$5&lt;=$D50),1,0)</x:f>
        <x:v>0</x:v>
      </x:c>
      <x:c r="S50" s="17" t="n">
        <x:f>IF(AND(S$5&gt;=$C50,S$5&lt;=$D50),1,0)</x:f>
        <x:v>0</x:v>
      </x:c>
      <x:c r="T50" s="17" t="n">
        <x:f>IF(AND(T$5&gt;=$C50,T$5&lt;=$D50),1,0)</x:f>
        <x:v>1</x:v>
      </x:c>
      <x:c r="U50" s="17" t="n">
        <x:f>IF(AND(U$5&gt;=$C50,U$5&lt;=$D50),1,0)</x:f>
        <x:v>0</x:v>
      </x:c>
    </x:row>
    <x:row r="51">
      <x:c r="A51" s="11" t="str">
        <x:v>A-046</x:v>
      </x:c>
      <x:c r="B51" s="11" t="str">
        <x:v>Reconcile UI, workbooks, reports, deck and manifest</x:v>
      </x:c>
      <x:c r="C51" s="11" t="n">
        <x:v>16</x:v>
      </x:c>
      <x:c r="D51" s="11" t="n">
        <x:v>16</x:v>
      </x:c>
      <x:c r="E51" s="11" t="str">
        <x:v>QA</x:v>
      </x:c>
      <x:c r="F51" s="17" t="n">
        <x:f>IF(AND(F$5&gt;=$C51,F$5&lt;=$D51),1,0)</x:f>
        <x:v>0</x:v>
      </x:c>
      <x:c r="G51" s="17" t="n">
        <x:f>IF(AND(G$5&gt;=$C51,G$5&lt;=$D51),1,0)</x:f>
        <x:v>0</x:v>
      </x:c>
      <x:c r="H51" s="17" t="n">
        <x:f>IF(AND(H$5&gt;=$C51,H$5&lt;=$D51),1,0)</x:f>
        <x:v>0</x:v>
      </x:c>
      <x:c r="I51" s="17" t="n">
        <x:f>IF(AND(I$5&gt;=$C51,I$5&lt;=$D51),1,0)</x:f>
        <x:v>0</x:v>
      </x:c>
      <x:c r="J51" s="17" t="n">
        <x:f>IF(AND(J$5&gt;=$C51,J$5&lt;=$D51),1,0)</x:f>
        <x:v>0</x:v>
      </x:c>
      <x:c r="K51" s="17" t="n">
        <x:f>IF(AND(K$5&gt;=$C51,K$5&lt;=$D51),1,0)</x:f>
        <x:v>0</x:v>
      </x:c>
      <x:c r="L51" s="17" t="n">
        <x:f>IF(AND(L$5&gt;=$C51,L$5&lt;=$D51),1,0)</x:f>
        <x:v>0</x:v>
      </x:c>
      <x:c r="M51" s="17" t="n">
        <x:f>IF(AND(M$5&gt;=$C51,M$5&lt;=$D51),1,0)</x:f>
        <x:v>0</x:v>
      </x:c>
      <x:c r="N51" s="17" t="n">
        <x:f>IF(AND(N$5&gt;=$C51,N$5&lt;=$D51),1,0)</x:f>
        <x:v>0</x:v>
      </x:c>
      <x:c r="O51" s="17" t="n">
        <x:f>IF(AND(O$5&gt;=$C51,O$5&lt;=$D51),1,0)</x:f>
        <x:v>0</x:v>
      </x:c>
      <x:c r="P51" s="17" t="n">
        <x:f>IF(AND(P$5&gt;=$C51,P$5&lt;=$D51),1,0)</x:f>
        <x:v>0</x:v>
      </x:c>
      <x:c r="Q51" s="17" t="n">
        <x:f>IF(AND(Q$5&gt;=$C51,Q$5&lt;=$D51),1,0)</x:f>
        <x:v>0</x:v>
      </x:c>
      <x:c r="R51" s="17" t="n">
        <x:f>IF(AND(R$5&gt;=$C51,R$5&lt;=$D51),1,0)</x:f>
        <x:v>0</x:v>
      </x:c>
      <x:c r="S51" s="17" t="n">
        <x:f>IF(AND(S$5&gt;=$C51,S$5&lt;=$D51),1,0)</x:f>
        <x:v>0</x:v>
      </x:c>
      <x:c r="T51" s="17" t="n">
        <x:f>IF(AND(T$5&gt;=$C51,T$5&lt;=$D51),1,0)</x:f>
        <x:v>0</x:v>
      </x:c>
      <x:c r="U51" s="17" t="n">
        <x:f>IF(AND(U$5&gt;=$C51,U$5&lt;=$D51),1,0)</x:f>
        <x:v>1</x:v>
      </x:c>
    </x:row>
    <x:row r="52">
      <x:c r="A52" s="11" t="str">
        <x:v>A-047</x:v>
      </x:c>
      <x:c r="B52" s="11" t="str">
        <x:v>Record final agency and client release decisions</x:v>
      </x:c>
      <x:c r="C52" s="11" t="n">
        <x:v>16</x:v>
      </x:c>
      <x:c r="D52" s="11" t="n">
        <x:v>16</x:v>
      </x:c>
      <x:c r="E52" s="11" t="str">
        <x:v>Agency admin + client</x:v>
      </x:c>
      <x:c r="F52" s="17" t="n">
        <x:f>IF(AND(F$5&gt;=$C52,F$5&lt;=$D52),1,0)</x:f>
        <x:v>0</x:v>
      </x:c>
      <x:c r="G52" s="17" t="n">
        <x:f>IF(AND(G$5&gt;=$C52,G$5&lt;=$D52),1,0)</x:f>
        <x:v>0</x:v>
      </x:c>
      <x:c r="H52" s="17" t="n">
        <x:f>IF(AND(H$5&gt;=$C52,H$5&lt;=$D52),1,0)</x:f>
        <x:v>0</x:v>
      </x:c>
      <x:c r="I52" s="17" t="n">
        <x:f>IF(AND(I$5&gt;=$C52,I$5&lt;=$D52),1,0)</x:f>
        <x:v>0</x:v>
      </x:c>
      <x:c r="J52" s="17" t="n">
        <x:f>IF(AND(J$5&gt;=$C52,J$5&lt;=$D52),1,0)</x:f>
        <x:v>0</x:v>
      </x:c>
      <x:c r="K52" s="17" t="n">
        <x:f>IF(AND(K$5&gt;=$C52,K$5&lt;=$D52),1,0)</x:f>
        <x:v>0</x:v>
      </x:c>
      <x:c r="L52" s="17" t="n">
        <x:f>IF(AND(L$5&gt;=$C52,L$5&lt;=$D52),1,0)</x:f>
        <x:v>0</x:v>
      </x:c>
      <x:c r="M52" s="17" t="n">
        <x:f>IF(AND(M$5&gt;=$C52,M$5&lt;=$D52),1,0)</x:f>
        <x:v>0</x:v>
      </x:c>
      <x:c r="N52" s="17" t="n">
        <x:f>IF(AND(N$5&gt;=$C52,N$5&lt;=$D52),1,0)</x:f>
        <x:v>0</x:v>
      </x:c>
      <x:c r="O52" s="17" t="n">
        <x:f>IF(AND(O$5&gt;=$C52,O$5&lt;=$D52),1,0)</x:f>
        <x:v>0</x:v>
      </x:c>
      <x:c r="P52" s="17" t="n">
        <x:f>IF(AND(P$5&gt;=$C52,P$5&lt;=$D52),1,0)</x:f>
        <x:v>0</x:v>
      </x:c>
      <x:c r="Q52" s="17" t="n">
        <x:f>IF(AND(Q$5&gt;=$C52,Q$5&lt;=$D52),1,0)</x:f>
        <x:v>0</x:v>
      </x:c>
      <x:c r="R52" s="17" t="n">
        <x:f>IF(AND(R$5&gt;=$C52,R$5&lt;=$D52),1,0)</x:f>
        <x:v>0</x:v>
      </x:c>
      <x:c r="S52" s="17" t="n">
        <x:f>IF(AND(S$5&gt;=$C52,S$5&lt;=$D52),1,0)</x:f>
        <x:v>0</x:v>
      </x:c>
      <x:c r="T52" s="17" t="n">
        <x:f>IF(AND(T$5&gt;=$C52,T$5&lt;=$D52),1,0)</x:f>
        <x:v>0</x:v>
      </x:c>
      <x:c r="U52" s="17" t="n">
        <x:f>IF(AND(U$5&gt;=$C52,U$5&lt;=$D52),1,0)</x:f>
        <x:v>1</x:v>
      </x:c>
    </x:row>
    <x:row r="53">
      <x:c r="A53" s="11" t="str">
        <x:v>A-048</x:v>
      </x:c>
      <x:c r="B53" s="11" t="str">
        <x:v>Archive checksums, restore evidence and post-release monitoring plan</x:v>
      </x:c>
      <x:c r="C53" s="11" t="n">
        <x:v>16</x:v>
      </x:c>
      <x:c r="D53" s="11" t="n">
        <x:v>16</x:v>
      </x:c>
      <x:c r="E53" s="11" t="str">
        <x:v>Agency admin</x:v>
      </x:c>
      <x:c r="F53" s="17" t="n">
        <x:f>IF(AND(F$5&gt;=$C53,F$5&lt;=$D53),1,0)</x:f>
        <x:v>0</x:v>
      </x:c>
      <x:c r="G53" s="17" t="n">
        <x:f>IF(AND(G$5&gt;=$C53,G$5&lt;=$D53),1,0)</x:f>
        <x:v>0</x:v>
      </x:c>
      <x:c r="H53" s="17" t="n">
        <x:f>IF(AND(H$5&gt;=$C53,H$5&lt;=$D53),1,0)</x:f>
        <x:v>0</x:v>
      </x:c>
      <x:c r="I53" s="17" t="n">
        <x:f>IF(AND(I$5&gt;=$C53,I$5&lt;=$D53),1,0)</x:f>
        <x:v>0</x:v>
      </x:c>
      <x:c r="J53" s="17" t="n">
        <x:f>IF(AND(J$5&gt;=$C53,J$5&lt;=$D53),1,0)</x:f>
        <x:v>0</x:v>
      </x:c>
      <x:c r="K53" s="17" t="n">
        <x:f>IF(AND(K$5&gt;=$C53,K$5&lt;=$D53),1,0)</x:f>
        <x:v>0</x:v>
      </x:c>
      <x:c r="L53" s="17" t="n">
        <x:f>IF(AND(L$5&gt;=$C53,L$5&lt;=$D53),1,0)</x:f>
        <x:v>0</x:v>
      </x:c>
      <x:c r="M53" s="17" t="n">
        <x:f>IF(AND(M$5&gt;=$C53,M$5&lt;=$D53),1,0)</x:f>
        <x:v>0</x:v>
      </x:c>
      <x:c r="N53" s="17" t="n">
        <x:f>IF(AND(N$5&gt;=$C53,N$5&lt;=$D53),1,0)</x:f>
        <x:v>0</x:v>
      </x:c>
      <x:c r="O53" s="17" t="n">
        <x:f>IF(AND(O$5&gt;=$C53,O$5&lt;=$D53),1,0)</x:f>
        <x:v>0</x:v>
      </x:c>
      <x:c r="P53" s="17" t="n">
        <x:f>IF(AND(P$5&gt;=$C53,P$5&lt;=$D53),1,0)</x:f>
        <x:v>0</x:v>
      </x:c>
      <x:c r="Q53" s="17" t="n">
        <x:f>IF(AND(Q$5&gt;=$C53,Q$5&lt;=$D53),1,0)</x:f>
        <x:v>0</x:v>
      </x:c>
      <x:c r="R53" s="17" t="n">
        <x:f>IF(AND(R$5&gt;=$C53,R$5&lt;=$D53),1,0)</x:f>
        <x:v>0</x:v>
      </x:c>
      <x:c r="S53" s="17" t="n">
        <x:f>IF(AND(S$5&gt;=$C53,S$5&lt;=$D53),1,0)</x:f>
        <x:v>0</x:v>
      </x:c>
      <x:c r="T53" s="17" t="n">
        <x:f>IF(AND(T$5&gt;=$C53,T$5&lt;=$D53),1,0)</x:f>
        <x:v>0</x:v>
      </x:c>
      <x:c r="U53" s="17" t="n">
        <x:f>IF(AND(U$5&gt;=$C53,U$5&lt;=$D53),1,0)</x:f>
        <x:v>1</x:v>
      </x:c>
    </x:row>
  </x:sheetData>
  <x:mergeCells>
    <x:mergeCell ref="A1:U1"/>
    <x:mergeCell ref="A2:U2"/>
  </x:mergeCells>
  <x:conditionalFormatting sqref="F6:U53">
    <x:cfRule type="cellIs" dxfId="2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22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3" t="str">
        <x:v>Delivery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Formula-backed counts update when canonical action statuses and priorities change.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9" t="str">
        <x:v>Priority</x:v>
      </x:c>
      <x:c r="B5" s="9" t="str">
        <x:v>Actions</x:v>
      </x:c>
      <x:c r="D5" s="19" t="str">
        <x:v>Status</x:v>
      </x:c>
      <x:c r="E5" s="19" t="str">
        <x:v>Actions</x:v>
      </x:c>
    </x:row>
    <x:row r="6">
      <x:c r="A6" t="str">
        <x:v>P1</x:v>
      </x:c>
      <x:c r="B6" t="n">
        <x:f>COUNTIF('Action Plan'!$E:$E,A6)</x:f>
        <x:v>21</x:v>
      </x:c>
      <x:c r="D6" t="str">
        <x:v>Not started</x:v>
      </x:c>
      <x:c r="E6" t="n">
        <x:f>COUNTIF('Action Plan'!$L:$L,D6)</x:f>
        <x:v>45</x:v>
      </x:c>
    </x:row>
    <x:row r="7">
      <x:c r="A7" t="str">
        <x:v>P2</x:v>
      </x:c>
      <x:c r="B7" t="n">
        <x:f>COUNTIF('Action Plan'!$E:$E,A7)</x:f>
        <x:v>23</x:v>
      </x:c>
      <x:c r="D7" t="str">
        <x:v>Ready</x:v>
      </x:c>
      <x:c r="E7" t="n">
        <x:f>COUNTIF('Action Plan'!$L:$L,D7)</x:f>
        <x:v>3</x:v>
      </x:c>
    </x:row>
    <x:row r="8">
      <x:c r="A8" t="str">
        <x:v>P3</x:v>
      </x:c>
      <x:c r="B8" t="n">
        <x:f>COUNTIF('Action Plan'!$E:$E,A8)</x:f>
        <x:v>4</x:v>
      </x:c>
      <x:c r="D8" t="str">
        <x:v>In progress</x:v>
      </x:c>
      <x:c r="E8" t="n">
        <x:f>COUNTIF('Action Plan'!$L:$L,D8)</x:f>
        <x:v>0</x:v>
      </x:c>
    </x:row>
    <x:row r="9">
      <x:c r="A9" t="str">
        <x:v>P4</x:v>
      </x:c>
      <x:c r="B9" t="n">
        <x:f>COUNTIF('Action Plan'!$E:$E,A9)</x:f>
        <x:v>0</x:v>
      </x:c>
      <x:c r="D9" t="str">
        <x:v>Blocked</x:v>
      </x:c>
      <x:c r="E9" t="n">
        <x:f>COUNTIF('Action Plan'!$L:$L,D9)</x:f>
        <x:v>0</x:v>
      </x:c>
    </x:row>
    <x:row r="10">
      <x:c r="D10" t="str">
        <x:v>Review</x:v>
      </x:c>
      <x:c r="E10" t="n">
        <x:f>COUNTIF('Action Plan'!$L:$L,D10)</x:f>
        <x:v>0</x:v>
      </x:c>
    </x:row>
    <x:row r="11">
      <x:c r="D11" t="str">
        <x:v>Complete</x:v>
      </x:c>
      <x:c r="E11" t="n">
        <x:f>COUNTIF('Action Plan'!$L:$L,D11)</x:f>
        <x:v>0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c10858841a94a93"/>
</x:worksheet>
</file>